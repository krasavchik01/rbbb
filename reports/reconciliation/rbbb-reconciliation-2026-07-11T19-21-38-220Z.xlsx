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f5bad8187344480" /></Relationships>
</file>

<file path=xl/workbook.xml><?xml version="1.0" encoding="utf-8"?>
<x:workbook xmlns:x="http://schemas.openxmlformats.org/spreadsheetml/2006/main">
  <x:sheets>
    <x:sheet xmlns:r="http://schemas.openxmlformats.org/officeDocument/2006/relationships" name="Summary" sheetId="1" r:id="Reddb664a447d4fa8"/>
    <x:sheet xmlns:r="http://schemas.openxmlformats.org/officeDocument/2006/relationships" name="RBI Match Conflicts" sheetId="2" r:id="Raa34a8d67f6f4bd9"/>
    <x:sheet xmlns:r="http://schemas.openxmlformats.org/officeDocument/2006/relationships" name="RBI Team Conflicts" sheetId="3" r:id="Rbbac9b9fe5e542fc"/>
    <x:sheet xmlns:r="http://schemas.openxmlformats.org/officeDocument/2006/relationships" name="RBI Not Found" sheetId="4" r:id="R73103e8eff2347e7"/>
    <x:sheet xmlns:r="http://schemas.openxmlformats.org/officeDocument/2006/relationships" name="Kenzhekulov" sheetId="5" r:id="R5569a9ee12344bef"/>
    <x:sheet xmlns:r="http://schemas.openxmlformats.org/officeDocument/2006/relationships" name="Timesheet Files" sheetId="6" r:id="R4782719986694685"/>
    <x:sheet xmlns:r="http://schemas.openxmlformats.org/officeDocument/2006/relationships" name="Timesheet Deltas" sheetId="7" r:id="Rc98e39b86e174469"/>
    <x:sheet xmlns:r="http://schemas.openxmlformats.org/officeDocument/2006/relationships" name="External People" sheetId="8" r:id="Ra28f0fcebf2c490b"/>
    <x:sheet xmlns:r="http://schemas.openxmlformats.org/officeDocument/2006/relationships" name="Data Dictionary" sheetId="9" r:id="R9466ff654e1048f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9">
    <x:font>
      <x:sz val="11"/>
      <x:name val="Carlito"/>
    </x:font>
    <x:font>
      <x:b/>
      <x:sz val="16"/>
      <x:color rgb="FFFFFFFF"/>
      <x:name val="Carlito"/>
    </x:font>
    <x:font>
      <x:i/>
      <x:sz val="10"/>
      <x:color rgb="FF5D7479"/>
      <x:name val="Carlito"/>
    </x:font>
    <x:font>
      <x:b/>
      <x:sz val="10"/>
      <x:color rgb="FFFFFFFF"/>
      <x:name val="Carlito"/>
    </x:font>
    <x:font>
      <x:sz val="9"/>
      <x:color rgb="FF183B43"/>
      <x:name val="Carlito"/>
    </x:font>
    <x:font>
      <x:b/>
      <x:sz val="11"/>
      <x:color rgb="FFFFFFFF"/>
      <x:name val="Carlito"/>
    </x:font>
    <x:font>
      <x:sz val="10"/>
      <x:color rgb="FF183B43"/>
      <x:name val="Carlito"/>
    </x:font>
    <x:font>
      <x:b/>
      <x:sz val="11"/>
      <x:color rgb="FF12343B"/>
      <x:name val="Carlito"/>
    </x:font>
    <x:font>
      <x:sz val="11"/>
      <x:color rgb="FF183B43"/>
      <x:name val="Carlito"/>
    </x:font>
  </x:fonts>
  <x:fills count="5">
    <x:fill>
      <x:patternFill patternType="none"/>
    </x:fill>
    <x:fill>
      <x:patternFill patternType="gray125"/>
    </x:fill>
    <x:fill>
      <x:patternFill patternType="solid">
        <x:fgColor rgb="FF12343B"/>
      </x:patternFill>
    </x:fill>
    <x:fill>
      <x:patternFill patternType="solid">
        <x:fgColor rgb="FFE6F4F1"/>
      </x:patternFill>
    </x:fill>
    <x:fill>
      <x:patternFill patternType="solid">
        <x:fgColor rgb="FF0B6B75"/>
      </x:patternFill>
    </x:fill>
  </x:fills>
  <x:borders count="7">
    <x:border/>
    <x:border>
      <x:left style="thin">
        <x:color rgb="FF0B6B75"/>
      </x:left>
      <x:top style="thin">
        <x:color rgb="FF0B6B75"/>
      </x:top>
      <x:bottom style="thin">
        <x:color rgb="FF0B6B75"/>
      </x:bottom>
    </x:border>
    <x:border>
      <x:top style="thin">
        <x:color rgb="FF0B6B75"/>
      </x:top>
      <x:bottom style="thin">
        <x:color rgb="FF0B6B75"/>
      </x:bottom>
    </x:border>
    <x:border>
      <x:right style="thin">
        <x:color rgb="FF0B6B75"/>
      </x:right>
      <x:top style="thin">
        <x:color rgb="FF0B6B75"/>
      </x:top>
      <x:bottom style="thin">
        <x:color rgb="FF0B6B75"/>
      </x:bottom>
    </x:border>
    <x:border>
      <x:bottom style="thin">
        <x:color rgb="FFD7E3E1"/>
      </x:bottom>
    </x:border>
    <x:border>
      <x:top style="thin">
        <x:color rgb="FFD7E3E1"/>
      </x:top>
      <x:bottom style="thin">
        <x:color rgb="FFD7E3E1"/>
      </x:bottom>
    </x:border>
    <x:border>
      <x:top style="thin">
        <x:color rgb="FFD7E3E1"/>
      </x:top>
    </x:border>
  </x:borders>
  <x:cellStyleXfs count="1">
    <x:xf numFmtId="0" fontId="0" fillId="0" borderId="0"/>
  </x:cellStyleXfs>
  <x:cellXfs count="5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4" xfId="0" applyNumberFormat="1" applyFont="1" applyFill="1" applyBorder="1"/>
    <x:xf numFmtId="0" fontId="4" fillId="0" borderId="4" xfId="0" applyNumberFormat="1" applyFont="1" applyFill="1" applyBorder="1">
      <x:extLst>
        <x:ext uri="{C7286773-470A-42A8-94C5-96B5CB345126}">
          <xfpb:xfComplement xmlns:xfpb="http://schemas.microsoft.com/office/spreadsheetml/2022/featurepropertybag" i="0"/>
        </x:ext>
      </x:extLst>
    </x:xf>
    <x:xf numFmtId="0" fontId="4" fillId="0" borderId="5" xfId="0" applyNumberFormat="1" applyFont="1" applyFill="1" applyBorder="1"/>
    <x:xf numFmtId="0" fontId="4" fillId="0" borderId="5" xfId="0" applyNumberFormat="1" applyFont="1" applyFill="1" applyBorder="1">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wrapText="1"/>
    </x:xf>
    <x:xf numFmtId="0" fontId="4" fillId="0" borderId="4"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5" xfId="0" applyNumberFormat="1" applyFont="1" applyFill="1" applyBorder="1" applyAlignment="1">
      <x:alignment wrapText="1"/>
    </x:xf>
    <x:xf numFmtId="0" fontId="4" fillId="0" borderId="5"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vertical="top" wrapText="1"/>
    </x:xf>
    <x:xf numFmtId="0" fontId="4"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5" xfId="0" applyNumberFormat="1" applyFont="1" applyFill="1" applyBorder="1" applyAlignment="1">
      <x:alignment vertical="top" wrapText="1"/>
    </x:xf>
    <x:xf numFmtId="0" fontId="4" fillId="0" borderId="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4" borderId="0" xfId="0" applyNumberFormat="1" applyFont="1" applyFill="1" applyBorder="1"/>
    <x:xf numFmtId="0" fontId="5" fillId="4" borderId="0" xfId="0" applyNumberFormat="1" applyFont="1" applyFill="1" applyBorder="1" applyAlignment="1">
      <x:alignment wrapText="1"/>
    </x:xf>
    <x:xf numFmtId="0" fontId="6" fillId="0" borderId="0" xfId="0" applyNumberFormat="1" applyFont="1" applyFill="1" applyBorder="1"/>
    <x:xf numFmtId="0" fontId="6" fillId="0" borderId="4" xfId="0" applyNumberFormat="1" applyFont="1" applyFill="1" applyBorder="1"/>
    <x:xf numFmtId="0" fontId="6" fillId="0" borderId="5" xfId="0" applyNumberFormat="1" applyFont="1" applyFill="1" applyBorder="1"/>
    <x:xf numFmtId="0" fontId="6" fillId="0" borderId="6" xfId="0" applyNumberFormat="1" applyFont="1" applyFill="1" applyBorder="1"/>
    <x:xf numFmtId="0" fontId="6" fillId="0" borderId="4" xfId="0" applyNumberFormat="1" applyFont="1" applyFill="1" applyBorder="1" applyAlignment="1">
      <x:alignment wrapText="1"/>
    </x:xf>
    <x:xf numFmtId="0" fontId="6" fillId="0" borderId="5" xfId="0" applyNumberFormat="1" applyFont="1" applyFill="1" applyBorder="1" applyAlignment="1">
      <x:alignment wrapText="1"/>
    </x:xf>
    <x:xf numFmtId="0" fontId="6" fillId="0" borderId="6" xfId="0" applyNumberFormat="1" applyFont="1" applyFill="1" applyBorder="1" applyAlignment="1">
      <x:alignment wrapText="1"/>
    </x:xf>
    <x:xf numFmtId="0" fontId="6" fillId="0" borderId="4" xfId="0" applyNumberFormat="1" applyFont="1" applyFill="1" applyBorder="1" applyAlignment="1">
      <x:alignment vertical="center" wrapText="1"/>
    </x:xf>
    <x:xf numFmtId="0" fontId="6" fillId="0" borderId="5" xfId="0" applyNumberFormat="1" applyFont="1" applyFill="1" applyBorder="1" applyAlignment="1">
      <x:alignment vertical="center" wrapText="1"/>
    </x:xf>
    <x:xf numFmtId="0" fontId="6" fillId="0" borderId="6" xfId="0" applyNumberFormat="1" applyFont="1" applyFill="1" applyBorder="1" applyAlignment="1">
      <x:alignment vertical="center" wrapText="1"/>
    </x:xf>
    <x:xf numFmtId="0" fontId="7" fillId="0" borderId="4" xfId="0" applyNumberFormat="1" applyFont="1" applyFill="1" applyBorder="1" applyAlignment="1">
      <x:alignment vertical="center" wrapText="1"/>
    </x:xf>
    <x:xf numFmtId="0" fontId="7" fillId="0" borderId="5" xfId="0" applyNumberFormat="1" applyFont="1" applyFill="1" applyBorder="1" applyAlignment="1">
      <x:alignment vertical="center" wrapText="1"/>
    </x:xf>
    <x:xf numFmtId="0" fontId="7" fillId="0" borderId="6" xfId="0" applyNumberFormat="1" applyFont="1" applyFill="1" applyBorder="1" applyAlignment="1">
      <x:alignment vertical="center" wrapText="1"/>
    </x:xf>
    <x:xf numFmtId="200" fontId="7" fillId="0" borderId="4" xfId="0" applyNumberFormat="1" applyFont="1" applyFill="1" applyBorder="1" applyAlignment="1">
      <x:alignment vertical="center" wrapText="1"/>
    </x:xf>
    <x:xf numFmtId="200" fontId="7" fillId="0" borderId="5" xfId="0" applyNumberFormat="1" applyFont="1" applyFill="1" applyBorder="1" applyAlignment="1">
      <x:alignment vertical="center" wrapText="1"/>
    </x:xf>
    <x:xf numFmtId="200" fontId="7" fillId="0" borderId="6" xfId="0" applyNumberFormat="1" applyFont="1" applyFill="1" applyBorder="1" applyAlignment="1">
      <x:alignment vertical="center" wrapText="1"/>
    </x:xf>
    <x:xf numFmtId="0" fontId="5" fillId="2" borderId="0" xfId="0" applyNumberFormat="1" applyFont="1" applyFill="1" applyBorder="1"/>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0" xfId="0" applyNumberFormat="1" applyFont="1" applyFill="1" applyBorder="1" applyAlignment="1">
      <x:alignment vertical="top" wrapText="1"/>
    </x:xf>
  </x:cellXfs>
  <x:cellStyles count="1">
    <x:cellStyle name="Normal" xfId="0"/>
  </x:cellStyles>
  <x:dxfs count="29">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991B1B"/>
      </x:font>
      <x:fill>
        <x:patternFill patternType="solid">
          <x:bgColor rgb="FFFEE2E2"/>
        </x:patternFill>
      </x:fill>
    </x:dxf>
    <x:dxf>
      <x:font>
        <x:color rgb="FF92400E"/>
      </x:font>
      <x:fill>
        <x:patternFill patternType="solid">
          <x:bgColor rgb="FFFEF3C7"/>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991B1B"/>
      </x:font>
      <x:fill>
        <x:patternFill patternType="solid">
          <x:bgColor rgb="FFFEE2E2"/>
        </x:patternFill>
      </x:fill>
    </x:dxf>
    <x:dxf>
      <x:font>
        <x:color rgb="FF92400E"/>
      </x:font>
      <x:fill>
        <x:patternFill patternType="solid">
          <x:bgColor rgb="FFFEF3C7"/>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991B1B"/>
      </x:font>
      <x:fill>
        <x:patternFill patternType="solid">
          <x:bgColor rgb="FFFEE2E2"/>
        </x:patternFill>
      </x:fill>
    </x:dxf>
    <x:dxf>
      <x:font>
        <x:color rgb="FF92400E"/>
      </x:font>
      <x:fill>
        <x:patternFill patternType="solid">
          <x:bgColor rgb="FFFEF3C7"/>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991B1B"/>
      </x:font>
      <x:fill>
        <x:patternFill patternType="solid">
          <x:bgColor rgb="FFFEE2E2"/>
        </x:patternFill>
      </x:fill>
    </x:dxf>
    <x:dxf>
      <x:font>
        <x:color rgb="FF92400E"/>
      </x:font>
      <x:fill>
        <x:patternFill patternType="solid">
          <x:bgColor rgb="FFFEF3C7"/>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991B1B"/>
      </x:font>
      <x:fill>
        <x:patternFill patternType="solid">
          <x:bgColor rgb="FFFEE2E2"/>
        </x:patternFill>
      </x:fill>
    </x:dxf>
    <x:dxf>
      <x:font>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6c3b65c3574c31" /><Relationship Type="http://schemas.openxmlformats.org/officeDocument/2006/relationships/theme" Target="/xl/theme/theme1.xml" Id="R0f63f8a9e5164c54" /><Relationship Type="http://schemas.microsoft.com/office/2022/11/relationships/FeaturePropertyBag" Target="/xl/featurePropertyBag/featurePropertyBag.xml" Id="Ra0cb9e61a6624778" /><Relationship Type="http://schemas.openxmlformats.org/officeDocument/2006/relationships/sharedStrings" Target="/xl/sharedStrings.xml" Id="R997fcda8d67b4608" /><Relationship Type="http://schemas.openxmlformats.org/officeDocument/2006/relationships/worksheet" Target="/xl/worksheets/sheet1.xml" Id="Reddb664a447d4fa8" /><Relationship Type="http://schemas.openxmlformats.org/officeDocument/2006/relationships/worksheet" Target="/xl/worksheets/sheet2.xml" Id="Raa34a8d67f6f4bd9" /><Relationship Type="http://schemas.openxmlformats.org/officeDocument/2006/relationships/worksheet" Target="/xl/worksheets/sheet3.xml" Id="Rbbac9b9fe5e542fc" /><Relationship Type="http://schemas.openxmlformats.org/officeDocument/2006/relationships/worksheet" Target="/xl/worksheets/sheet4.xml" Id="R73103e8eff2347e7" /><Relationship Type="http://schemas.openxmlformats.org/officeDocument/2006/relationships/worksheet" Target="/xl/worksheets/sheet5.xml" Id="R5569a9ee12344bef" /><Relationship Type="http://schemas.openxmlformats.org/officeDocument/2006/relationships/worksheet" Target="/xl/worksheets/sheet6.xml" Id="R4782719986694685" /><Relationship Type="http://schemas.openxmlformats.org/officeDocument/2006/relationships/worksheet" Target="/xl/worksheets/sheet7.xml" Id="Rc98e39b86e174469" /><Relationship Type="http://schemas.openxmlformats.org/officeDocument/2006/relationships/worksheet" Target="/xl/worksheets/sheet8.xml" Id="Ra28f0fcebf2c490b" /><Relationship Type="http://schemas.openxmlformats.org/officeDocument/2006/relationships/worksheet" Target="/xl/worksheets/sheet9.xml" Id="R9466ff654e1048f3" /><Relationship Type="http://schemas.microsoft.com/office/2017/10/relationships/person" Target="/xl/persons/person.xml" Id="R78ed67bb0325480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Codex RBBB Reconciliation" id="{B4777CF4-3F20-430D-B559-3869BFC9BBED}"/>
</xltc:personList>
</file>

<file path=xl/tables/table1.xml><?xml version="1.0" encoding="utf-8"?>
<x:table xmlns:x="http://schemas.openxmlformats.org/spreadsheetml/2006/main" id="1" name="RBIMatchConflictsTable" displayName="RBIMatchConflictsTable" ref="A4:U70" headerRowCount="1" totalsRowCount="0" totalsRowShown="0">
  <x:tableColumns count="21">
    <x:tableColumn id="1" name="Source Key"/>
    <x:tableColumn id="2" name="File"/>
    <x:tableColumn id="3" name="Sheet"/>
    <x:tableColumn id="4" name="Row"/>
    <x:tableColumn id="5" name="Client"/>
    <x:tableColumn id="6" name="Audit Type"/>
    <x:tableColumn id="7" name="Company"/>
    <x:tableColumn id="8" name="Old Match"/>
    <x:tableColumn id="9" name="Old Best Project"/>
    <x:tableColumn id="10" name="Old Score"/>
    <x:tableColumn id="11" name="Current Match"/>
    <x:tableColumn id="12" name="Current Candidates"/>
    <x:tableColumn id="13" name="Conflicts"/>
    <x:tableColumn id="14" name="Live Team"/>
    <x:tableColumn id="15" name="Excel Team"/>
    <x:tableColumn id="16" name="Live RBI Marker"/>
    <x:tableColumn id="17" name="Status"/>
    <x:tableColumn id="18" name="Recommendation"/>
    <x:tableColumn id="19" name="Decision"/>
    <x:tableColumn id="20" name="Approved Project ID"/>
    <x:tableColumn id="21" name="Review Comment"/>
  </x:tableColumns>
  <x:tableStyleInfo name="TableStyleMedium2" showFirstColumn="0" showLastColumn="0" showRowStripes="1" showColumnStripes="0"/>
</x:table>
</file>

<file path=xl/tables/table2.xml><?xml version="1.0" encoding="utf-8"?>
<x:table xmlns:x="http://schemas.openxmlformats.org/spreadsheetml/2006/main" id="2" name="RBITeamConflictsTable" displayName="RBITeamConflictsTable" ref="A4:U76" headerRowCount="1" totalsRowCount="0" totalsRowShown="0">
  <x:tableColumns count="21">
    <x:tableColumn id="1" name="Source Key"/>
    <x:tableColumn id="2" name="File"/>
    <x:tableColumn id="3" name="Sheet"/>
    <x:tableColumn id="4" name="Row"/>
    <x:tableColumn id="5" name="Client"/>
    <x:tableColumn id="6" name="Audit Type"/>
    <x:tableColumn id="7" name="Company"/>
    <x:tableColumn id="8" name="Old Match"/>
    <x:tableColumn id="9" name="Old Best Project"/>
    <x:tableColumn id="10" name="Old Score"/>
    <x:tableColumn id="11" name="Current Match"/>
    <x:tableColumn id="12" name="Current Candidates"/>
    <x:tableColumn id="13" name="Conflicts"/>
    <x:tableColumn id="14" name="Live Team"/>
    <x:tableColumn id="15" name="Excel Team"/>
    <x:tableColumn id="16" name="Live RBI Marker"/>
    <x:tableColumn id="17" name="Status"/>
    <x:tableColumn id="18" name="Recommendation"/>
    <x:tableColumn id="19" name="Decision"/>
    <x:tableColumn id="20" name="Approved Project ID"/>
    <x:tableColumn id="21" name="Review Comment"/>
  </x:tableColumns>
  <x:tableStyleInfo name="TableStyleMedium2" showFirstColumn="0" showLastColumn="0" showRowStripes="1" showColumnStripes="0"/>
</x:table>
</file>

<file path=xl/tables/table3.xml><?xml version="1.0" encoding="utf-8"?>
<x:table xmlns:x="http://schemas.openxmlformats.org/spreadsheetml/2006/main" id="3" name="RBINotFoundTable" displayName="RBINotFoundTable" ref="A4:U127" headerRowCount="1" totalsRowCount="0" totalsRowShown="0">
  <x:tableColumns count="21">
    <x:tableColumn id="1" name="Source Key"/>
    <x:tableColumn id="2" name="File"/>
    <x:tableColumn id="3" name="Sheet"/>
    <x:tableColumn id="4" name="Row"/>
    <x:tableColumn id="5" name="Client"/>
    <x:tableColumn id="6" name="Audit Type"/>
    <x:tableColumn id="7" name="Company"/>
    <x:tableColumn id="8" name="Old Match"/>
    <x:tableColumn id="9" name="Old Best Project"/>
    <x:tableColumn id="10" name="Old Score"/>
    <x:tableColumn id="11" name="Current Match"/>
    <x:tableColumn id="12" name="Current Candidates"/>
    <x:tableColumn id="13" name="Conflicts"/>
    <x:tableColumn id="14" name="Live Team"/>
    <x:tableColumn id="15" name="Excel Team"/>
    <x:tableColumn id="16" name="Live RBI Marker"/>
    <x:tableColumn id="17" name="Status"/>
    <x:tableColumn id="18" name="Recommendation"/>
    <x:tableColumn id="19" name="Decision"/>
    <x:tableColumn id="20" name="Approved Project ID"/>
    <x:tableColumn id="21" name="Review Comment"/>
  </x:tableColumns>
  <x:tableStyleInfo name="TableStyleMedium2" showFirstColumn="0" showLastColumn="0" showRowStripes="1" showColumnStripes="0"/>
</x:table>
</file>

<file path=xl/tables/table4.xml><?xml version="1.0" encoding="utf-8"?>
<x:table xmlns:x="http://schemas.openxmlformats.org/spreadsheetml/2006/main" id="4" name="KenzhekulovTable" displayName="KenzhekulovTable" ref="A4:T56" headerRowCount="1" totalsRowCount="0" totalsRowShown="0">
  <x:tableColumns count="20">
    <x:tableColumn id="1" name="No"/>
    <x:tableColumn id="2" name="Client"/>
    <x:tableColumn id="3" name="Audit Type"/>
    <x:tableColumn id="4" name="Year"/>
    <x:tableColumn id="5" name="Period"/>
    <x:tableColumn id="6" name="Historical Match"/>
    <x:tableColumn id="7" name="Historical Confidence"/>
    <x:tableColumn id="8" name="Current Match"/>
    <x:tableColumn id="9" name="Current Candidates"/>
    <x:tableColumn id="10" name="Evidence Project"/>
    <x:tableColumn id="11" name="Partner Match"/>
    <x:tableColumn id="12" name="Shared Marker"/>
    <x:tableColumn id="13" name="Approved Rows"/>
    <x:tableColumn id="14" name="Approved Hours"/>
    <x:tableColumn id="15" name="Known Unmatched"/>
    <x:tableColumn id="16" name="Status"/>
    <x:tableColumn id="17" name="Recommendation"/>
    <x:tableColumn id="18" name="Decision"/>
    <x:tableColumn id="19" name="Approved Project ID"/>
    <x:tableColumn id="20" name="Review Comment"/>
  </x:tableColumns>
  <x:tableStyleInfo name="TableStyleMedium2" showFirstColumn="0" showLastColumn="0" showRowStripes="1" showColumnStripes="0"/>
</x:table>
</file>

<file path=xl/tables/table5.xml><?xml version="1.0" encoding="utf-8"?>
<x:table xmlns:x="http://schemas.openxmlformats.org/spreadsheetml/2006/main" id="5" name="TimesheetFilesTable" displayName="TimesheetFilesTable" ref="A4:Y7" headerRowCount="1" totalsRowCount="0" totalsRowShown="0">
  <x:tableColumns count="25">
    <x:tableColumn id="1" name="Employee"/>
    <x:tableColumn id="2" name="Root File"/>
    <x:tableColumn id="3" name="Root SHA-256"/>
    <x:tableColumn id="4" name="Root Rows"/>
    <x:tableColumn id="5" name="Root Hours"/>
    <x:tableColumn id="6" name="Root Dates"/>
    <x:tableColumn id="7" name="Raw File"/>
    <x:tableColumn id="8" name="Raw SHA-256"/>
    <x:tableColumn id="9" name="Raw Rows"/>
    <x:tableColumn id="10" name="Raw Hours"/>
    <x:tableColumn id="11" name="Raw Dates"/>
    <x:tableColumn id="12" name="Drive Rows"/>
    <x:tableColumn id="13" name="Drive Hours"/>
    <x:tableColumn id="14" name="Live Rows"/>
    <x:tableColumn id="15" name="Live Hours"/>
    <x:tableColumn id="16" name="Live Statuses"/>
    <x:tableColumn id="17" name="Root Strict Match"/>
    <x:tableColumn id="18" name="Root Compact Match"/>
    <x:tableColumn id="19" name="Raw Strict Match"/>
    <x:tableColumn id="20" name="Raw Compact Match"/>
    <x:tableColumn id="21" name="Drive Strict Match"/>
    <x:tableColumn id="22" name="Drive Compact Match"/>
    <x:tableColumn id="23" name="Drive Status"/>
    <x:tableColumn id="24" name="Status"/>
    <x:tableColumn id="25" name="Recommendation"/>
  </x:tableColumns>
  <x:tableStyleInfo name="TableStyleMedium2" showFirstColumn="0" showLastColumn="0" showRowStripes="1" showColumnStripes="0"/>
</x:table>
</file>

<file path=xl/tables/table6.xml><?xml version="1.0" encoding="utf-8"?>
<x:table xmlns:x="http://schemas.openxmlformats.org/spreadsheetml/2006/main" id="6" name="TimesheetDeltasTable" displayName="TimesheetDeltasTable" ref="A4:J573" headerRowCount="1" totalsRowCount="0" totalsRowShown="0">
  <x:tableColumns count="10">
    <x:tableColumn id="1" name="Employee"/>
    <x:tableColumn id="2" name="Comparison"/>
    <x:tableColumn id="3" name="Direction"/>
    <x:tableColumn id="4" name="Date"/>
    <x:tableColumn id="5" name="Hours"/>
    <x:tableColumn id="6" name="Project"/>
    <x:tableColumn id="7" name="Notes"/>
    <x:tableColumn id="8" name="Sheet"/>
    <x:tableColumn id="9" name="Row"/>
    <x:tableColumn id="10" name="Status"/>
  </x:tableColumns>
  <x:tableStyleInfo name="TableStyleMedium2" showFirstColumn="0" showLastColumn="0" showRowStripes="1" showColumnStripes="0"/>
</x:table>
</file>

<file path=xl/tables/table7.xml><?xml version="1.0" encoding="utf-8"?>
<x:table xmlns:x="http://schemas.openxmlformats.org/spreadsheetml/2006/main" id="7" name="ExternalPeopleTable" displayName="ExternalPeopleTable" ref="A4:J16" headerRowCount="1" totalsRowCount="0" totalsRowShown="0">
  <x:tableColumns count="10">
    <x:tableColumn id="1" name="Source Key"/>
    <x:tableColumn id="2" name="File"/>
    <x:tableColumn id="3" name="Sheet"/>
    <x:tableColumn id="4" name="Row"/>
    <x:tableColumn id="5" name="Client"/>
    <x:tableColumn id="6" name="Person"/>
    <x:tableColumn id="7" name="Role"/>
    <x:tableColumn id="8" name="Recommendation"/>
    <x:tableColumn id="9" name="Decision"/>
    <x:tableColumn id="10" name="Review Comment"/>
  </x:tableColumns>
  <x:tableStyleInfo name="TableStyleMedium2" showFirstColumn="0" showLastColumn="0" showRowStripes="1" showColumnStripes="0"/>
</x:table>
</file>

<file path=xl/tables/table8.xml><?xml version="1.0" encoding="utf-8"?>
<x:table xmlns:x="http://schemas.openxmlformats.org/spreadsheetml/2006/main" id="8" name="DataDictionaryTable" displayName="DataDictionaryTable" ref="A4:B17" headerRowCount="1" totalsRowCount="0" totalsRowShown="0">
  <x:tableColumns count="2">
    <x:tableColumn id="1" name="Value"/>
    <x:tableColumn id="2" name="Mean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f47f138e91042ef" /></Relationships>
</file>

<file path=xl/worksheets/_rels/sheet3.xml.rels>&#65279;<?xml version="1.0" encoding="utf-8"?><Relationships xmlns="http://schemas.openxmlformats.org/package/2006/relationships"><Relationship Type="http://schemas.openxmlformats.org/officeDocument/2006/relationships/table" Target="/xl/tables/table2.xml" Id="Reb4070dadd4b4bc0" /></Relationships>
</file>

<file path=xl/worksheets/_rels/sheet4.xml.rels>&#65279;<?xml version="1.0" encoding="utf-8"?><Relationships xmlns="http://schemas.openxmlformats.org/package/2006/relationships"><Relationship Type="http://schemas.openxmlformats.org/officeDocument/2006/relationships/table" Target="/xl/tables/table3.xml" Id="R4fa37dc544db4241" /></Relationships>
</file>

<file path=xl/worksheets/_rels/sheet5.xml.rels>&#65279;<?xml version="1.0" encoding="utf-8"?><Relationships xmlns="http://schemas.openxmlformats.org/package/2006/relationships"><Relationship Type="http://schemas.openxmlformats.org/officeDocument/2006/relationships/table" Target="/xl/tables/table4.xml" Id="R78b960c208564ccd" /></Relationships>
</file>

<file path=xl/worksheets/_rels/sheet6.xml.rels>&#65279;<?xml version="1.0" encoding="utf-8"?><Relationships xmlns="http://schemas.openxmlformats.org/package/2006/relationships"><Relationship Type="http://schemas.openxmlformats.org/officeDocument/2006/relationships/table" Target="/xl/tables/table5.xml" Id="R80ac4f7064a4481d" /></Relationships>
</file>

<file path=xl/worksheets/_rels/sheet7.xml.rels>&#65279;<?xml version="1.0" encoding="utf-8"?><Relationships xmlns="http://schemas.openxmlformats.org/package/2006/relationships"><Relationship Type="http://schemas.openxmlformats.org/officeDocument/2006/relationships/table" Target="/xl/tables/table6.xml" Id="Rd081e4bb5b4f45eb" /></Relationships>
</file>

<file path=xl/worksheets/_rels/sheet8.xml.rels>&#65279;<?xml version="1.0" encoding="utf-8"?><Relationships xmlns="http://schemas.openxmlformats.org/package/2006/relationships"><Relationship Type="http://schemas.openxmlformats.org/officeDocument/2006/relationships/table" Target="/xl/tables/table7.xml" Id="Rb25518510b3940a4" /></Relationships>
</file>

<file path=xl/worksheets/_rels/sheet9.xml.rels>&#65279;<?xml version="1.0" encoding="utf-8"?><Relationships xmlns="http://schemas.openxmlformats.org/package/2006/relationships"><Relationship Type="http://schemas.openxmlformats.org/officeDocument/2006/relationships/table" Target="/xl/tables/table8.xml" Id="Re597d1a553f64179"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54"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3" t="str">
        <x:v>RBBB — единый реестр сверки импортов</x:v>
      </x:c>
      <x:c r="B1" s="3"/>
      <x:c r="C1" s="3"/>
      <x:c r="D1" s="3"/>
      <x:c r="E1" s="3"/>
      <x:c r="F1" s="3"/>
      <x:c r="G1" s="3"/>
      <x:c r="H1" s="3"/>
    </x:row>
    <x:row r="2" ht="30" customHeight="1">
      <x:c r="A2" s="7" t="str">
        <x:v>Read-only снимок: 2026-07-11T19:21:38.220Z. Никаких изменений live-БД.</x:v>
      </x:c>
      <x:c r="B2" s="7"/>
      <x:c r="C2" s="7"/>
      <x:c r="D2" s="7"/>
      <x:c r="E2" s="7"/>
      <x:c r="F2" s="7"/>
      <x:c r="G2" s="7"/>
      <x:c r="H2" s="7"/>
    </x:row>
    <x:row r="4">
      <x:c r="A4" s="35" t="str">
        <x:v>Контрольный показатель</x:v>
      </x:c>
      <x:c r="B4" s="35" t="str">
        <x:v>Значение</x:v>
      </x:c>
      <x:c r="C4" s="35" t="str">
        <x:v>Что означает</x:v>
      </x:c>
    </x:row>
    <x:row r="5">
      <x:c r="A5" s="43" t="str">
        <x:v>RBI match conflicts</x:v>
      </x:c>
      <x:c r="B5" s="49" t="n">
        <x:f>COUNTA('RBI Match Conflicts'!$A$5:$A$70)</x:f>
        <x:v>66</x:v>
      </x:c>
      <x:c r="C5" s="43" t="str">
        <x:v>Неоднозначный выбор проекта</x:v>
      </x:c>
    </x:row>
    <x:row r="6">
      <x:c r="A6" s="44" t="str">
        <x:v>RBI team conflicts</x:v>
      </x:c>
      <x:c r="B6" s="50" t="n">
        <x:f>COUNTA('RBI Team Conflicts'!$A$5:$A$76)</x:f>
        <x:v>72</x:v>
      </x:c>
      <x:c r="C6" s="44" t="str">
        <x:v>Расхождение live- и Excel-команд</x:v>
      </x:c>
    </x:row>
    <x:row r="7">
      <x:c r="A7" s="44" t="str">
        <x:v>Пересечение конфликтов</x:v>
      </x:c>
      <x:c r="B7" s="50" t="n">
        <x:v>15</x:v>
      </x:c>
      <x:c r="C7" s="44" t="str">
        <x:v>Строки присутствуют в обоих conflict-наборах</x:v>
      </x:c>
    </x:row>
    <x:row r="8">
      <x:c r="A8" s="44" t="str">
        <x:v>RBI not found</x:v>
      </x:c>
      <x:c r="B8" s="50" t="n">
        <x:f>COUNTA('RBI Not Found'!$A$5:$A$127)</x:f>
        <x:v>123</x:v>
      </x:c>
      <x:c r="C8" s="44" t="str">
        <x:v>Проект не найден</x:v>
      </x:c>
    </x:row>
    <x:row r="9">
      <x:c r="A9" s="44" t="str">
        <x:v>Уникальных RBI строк review</x:v>
      </x:c>
      <x:c r="B9" s="50" t="n">
        <x:f>B5+B6-B7+B8</x:f>
        <x:v>246</x:v>
      </x:c>
      <x:c r="C9" s="44" t="str">
        <x:v>Match + team без двойного счёта + not found</x:v>
      </x:c>
    </x:row>
    <x:row r="10">
      <x:c r="A10" s="44" t="str">
        <x:v>RBI marker projects live</x:v>
      </x:c>
      <x:c r="B10" s="50" t="n">
        <x:v>144</x:v>
      </x:c>
      <x:c r="C10" s="44" t="str">
        <x:v>Подтверждённая live baseline</x:v>
      </x:c>
    </x:row>
    <x:row r="11">
      <x:c r="A11" s="44" t="str">
        <x:v>RBI assigned members live</x:v>
      </x:c>
      <x:c r="B11" s="50" t="n">
        <x:v>152</x:v>
      </x:c>
      <x:c r="C11" s="44" t="str">
        <x:v>Подтверждённая live baseline</x:v>
      </x:c>
    </x:row>
    <x:row r="12">
      <x:c r="A12" s="44" t="str">
        <x:v>Кенжекулов source rows</x:v>
      </x:c>
      <x:c r="B12" s="50" t="n">
        <x:f>COUNTA('Kenzhekulov'!$A$5:$A$56)</x:f>
        <x:v>52</x:v>
      </x:c>
      <x:c r="C12" s="44" t="str">
        <x:v>Все строки исходного анализа</x:v>
      </x:c>
    </x:row>
    <x:row r="13">
      <x:c r="A13" s="44" t="str">
        <x:v>Кенжекулов confirmed</x:v>
      </x:c>
      <x:c r="B13" s="50" t="n">
        <x:f>COUNTIF('Kenzhekulov'!$P$5:$P$56,"confirmed_applied")</x:f>
        <x:v>29</x:v>
      </x:c>
      <x:c r="C13" s="44" t="str">
        <x:v>Есть source-specific project + partner evidence</x:v>
      </x:c>
    </x:row>
    <x:row r="14">
      <x:c r="A14" s="44" t="str">
        <x:v>Кенжекулов review</x:v>
      </x:c>
      <x:c r="B14" s="50" t="n">
        <x:f>B12-B13</x:f>
        <x:v>23</x:v>
      </x:c>
      <x:c r="C14" s="44" t="str">
        <x:v>Нет достаточного source-specific evidence</x:v>
      </x:c>
    </x:row>
    <x:row r="15">
      <x:c r="A15" s="44" t="str">
        <x:v>Approved timesheets live</x:v>
      </x:c>
      <x:c r="B15" s="50" t="n">
        <x:v>14629</x:v>
      </x:c>
      <x:c r="C15" s="44" t="str">
        <x:v>Только status=approved</x:v>
      </x:c>
    </x:row>
    <x:row r="16">
      <x:c r="A16" s="44" t="str">
        <x:v>Approved hours live</x:v>
      </x:c>
      <x:c r="B16" s="50" t="n">
        <x:v>110364.4</x:v>
      </x:c>
      <x:c r="C16" s="44" t="str">
        <x:v>Часы status=approved</x:v>
      </x:c>
    </x:row>
    <x:row r="17">
      <x:c r="A17" s="44" t="str">
        <x:v>Shared ledger marker projects</x:v>
      </x:c>
      <x:c r="B17" s="50" t="n">
        <x:v>64</x:v>
      </x:c>
      <x:c r="C17" s="44" t="str">
        <x:v>Не относится только к Кенжекулову</x:v>
      </x:c>
    </x:row>
    <x:row r="18">
      <x:c r="A18" s="44" t="str">
        <x:v>Shared ledger approved rows</x:v>
      </x:c>
      <x:c r="B18" s="50" t="n">
        <x:v>839</x:v>
      </x:c>
      <x:c r="C18" s="44" t="str">
        <x:v>Не относится только к Кенжекулову</x:v>
      </x:c>
    </x:row>
    <x:row r="19">
      <x:c r="A19" s="45" t="str">
        <x:v>Shared ledger approved hours</x:v>
      </x:c>
      <x:c r="B19" s="51" t="n">
        <x:v>6233.8</x:v>
      </x:c>
      <x:c r="C19" s="45" t="str">
        <x:v>Не относится только к Кенжекулову</x:v>
      </x:c>
    </x:row>
    <x:row r="22">
      <x:c r="A22" s="52" t="str">
        <x:v>Как работать с реестром</x:v>
      </x:c>
      <x:c r="B22" s="52"/>
      <x:c r="C22" s="52"/>
      <x:c r="D22" s="52"/>
      <x:c r="E22" s="52"/>
      <x:c r="F22" s="52"/>
      <x:c r="G22" s="52"/>
      <x:c r="H22" s="52"/>
    </x:row>
    <x:row r="23">
      <x:c r="A23" s="55" t="str">
        <x:v>1. Начните с RBI Match Conflicts и RBI Team Conflicts.
2. Заполните Decision, Approved Project ID и Review Comment.
3. Для RBI Not Found используйте create_new_project только после проверки клиента и периода.
4. В Kenzhekulov общий marker не является доказательством одного реестра.
5. Timesheet Files и Timesheet Deltas показывают, почему повторный импорт запрещён.</x:v>
      </x:c>
      <x:c r="B23" s="55"/>
      <x:c r="C23" s="55"/>
      <x:c r="D23" s="55"/>
      <x:c r="E23" s="55"/>
      <x:c r="F23" s="55"/>
      <x:c r="G23" s="55"/>
      <x:c r="H23" s="55"/>
    </x:row>
    <x:row r="24">
      <x:c r="A24" s="55" t="str"/>
      <x:c r="B24" s="55"/>
      <x:c r="C24" s="55"/>
      <x:c r="D24" s="55"/>
      <x:c r="E24" s="55"/>
      <x:c r="F24" s="55"/>
      <x:c r="G24" s="55"/>
      <x:c r="H24" s="55"/>
    </x:row>
    <x:row r="25">
      <x:c r="A25" s="55" t="str"/>
      <x:c r="B25" s="55"/>
      <x:c r="C25" s="55"/>
      <x:c r="D25" s="55"/>
      <x:c r="E25" s="55"/>
      <x:c r="F25" s="55"/>
      <x:c r="G25" s="55"/>
      <x:c r="H25" s="55"/>
    </x:row>
    <x:row r="26">
      <x:c r="A26" s="55" t="str"/>
      <x:c r="B26" s="55"/>
      <x:c r="C26" s="55"/>
      <x:c r="D26" s="55"/>
      <x:c r="E26" s="55"/>
      <x:c r="F26" s="55"/>
      <x:c r="G26" s="55"/>
      <x:c r="H26" s="55"/>
    </x:row>
    <x:row r="27">
      <x:c r="A27" s="55" t="str"/>
      <x:c r="B27" s="55"/>
      <x:c r="C27" s="55"/>
      <x:c r="D27" s="55"/>
      <x:c r="E27" s="55"/>
      <x:c r="F27" s="55"/>
      <x:c r="G27" s="55"/>
      <x:c r="H27" s="55"/>
    </x:row>
  </x:sheetData>
  <x:mergeCells>
    <x:mergeCell ref="A1:H1"/>
    <x:mergeCell ref="A2:H2"/>
    <x:mergeCell ref="A22:H22"/>
    <x:mergeCell ref="A23:H23"/>
    <x:mergeCell ref="A24:H24"/>
    <x:mergeCell ref="A25:H25"/>
    <x:mergeCell ref="A26:H26"/>
    <x:mergeCell ref="A27:H2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20" hidden="0" customWidth="1"/>
    <x:col min="4" max="4" width="8" hidden="0" customWidth="1"/>
    <x:col min="5" max="5" width="28" hidden="0" customWidth="1"/>
    <x:col min="6" max="6" width="20" hidden="0" customWidth="1"/>
    <x:col min="7" max="7" width="22" hidden="0" customWidth="1"/>
    <x:col min="8" max="8" width="13" hidden="0" customWidth="1"/>
    <x:col min="9" max="9" width="32" hidden="0" customWidth="1"/>
    <x:col min="10" max="10" width="10" hidden="0" customWidth="1"/>
    <x:col min="11" max="11" width="13" hidden="0" customWidth="1"/>
    <x:col min="12" max="12" width="50" hidden="0" customWidth="1"/>
    <x:col min="13" max="13" width="40" hidden="0" customWidth="1"/>
    <x:col min="14" max="14" width="38" hidden="0" customWidth="1"/>
    <x:col min="15" max="15" width="38" hidden="0" customWidth="1"/>
    <x:col min="16" max="16" width="12" hidden="0" customWidth="1"/>
    <x:col min="17" max="17" width="22" hidden="0" customWidth="1"/>
    <x:col min="18" max="18" width="26" hidden="0" customWidth="1"/>
    <x:col min="19" max="19" width="24" hidden="0" customWidth="1"/>
    <x:col min="20" max="20" width="32" hidden="0" customWidth="1"/>
    <x:col min="21" max="21" width="36" hidden="0" customWidth="1"/>
  </x:cols>
  <x:sheetData>
    <x:row r="1" ht="30" customHeight="1">
      <x:c r="A1" s="3" t="str">
        <x:v>RBI — конфликты сопоставления проекта</x:v>
      </x:c>
      <x:c r="B1" s="3"/>
      <x:c r="C1" s="3"/>
      <x:c r="D1" s="3"/>
      <x:c r="E1" s="3"/>
      <x:c r="F1" s="3"/>
      <x:c r="G1" s="3"/>
      <x:c r="H1" s="3"/>
      <x:c r="I1" s="3"/>
      <x:c r="J1" s="3"/>
      <x:c r="K1" s="3"/>
      <x:c r="L1" s="3"/>
      <x:c r="M1" s="3"/>
      <x:c r="N1" s="3"/>
      <x:c r="O1" s="3"/>
      <x:c r="P1" s="3"/>
      <x:c r="Q1" s="3"/>
      <x:c r="R1" s="3"/>
      <x:c r="S1" s="3"/>
      <x:c r="T1" s="3"/>
      <x:c r="U1" s="3"/>
    </x:row>
    <x:row r="2" ht="30" customHeight="1">
      <x:c r="A2" s="7" t="str">
        <x:v>66 строк. Выберите существующий проект либо зафиксируйте skip/create decision; live-БД не изменяется.</x:v>
      </x:c>
      <x:c r="B2" s="7"/>
      <x:c r="C2" s="7"/>
      <x:c r="D2" s="7"/>
      <x:c r="E2" s="7"/>
      <x:c r="F2" s="7"/>
      <x:c r="G2" s="7"/>
      <x:c r="H2" s="7"/>
      <x:c r="I2" s="7"/>
      <x:c r="J2" s="7"/>
      <x:c r="K2" s="7"/>
      <x:c r="L2" s="7"/>
      <x:c r="M2" s="7"/>
      <x:c r="N2" s="7"/>
      <x:c r="O2" s="7"/>
      <x:c r="P2" s="7"/>
      <x:c r="Q2" s="7"/>
      <x:c r="R2" s="7"/>
      <x:c r="S2" s="7"/>
      <x:c r="T2" s="7"/>
      <x:c r="U2" s="7"/>
    </x:row>
    <x:row r="4" ht="34" customHeight="1">
      <x:c r="A4" s="17" t="str">
        <x:v>Source Key</x:v>
      </x:c>
      <x:c r="B4" s="18" t="str">
        <x:v>File</x:v>
      </x:c>
      <x:c r="C4" s="18" t="str">
        <x:v>Sheet</x:v>
      </x:c>
      <x:c r="D4" s="18" t="str">
        <x:v>Row</x:v>
      </x:c>
      <x:c r="E4" s="18" t="str">
        <x:v>Client</x:v>
      </x:c>
      <x:c r="F4" s="18" t="str">
        <x:v>Audit Type</x:v>
      </x:c>
      <x:c r="G4" s="18" t="str">
        <x:v>Company</x:v>
      </x:c>
      <x:c r="H4" s="18" t="str">
        <x:v>Old Match</x:v>
      </x:c>
      <x:c r="I4" s="18" t="str">
        <x:v>Old Best Project</x:v>
      </x:c>
      <x:c r="J4" s="18" t="str">
        <x:v>Old Score</x:v>
      </x:c>
      <x:c r="K4" s="18" t="str">
        <x:v>Current Match</x:v>
      </x:c>
      <x:c r="L4" s="18" t="str">
        <x:v>Current Candidates</x:v>
      </x:c>
      <x:c r="M4" s="18" t="str">
        <x:v>Conflicts</x:v>
      </x:c>
      <x:c r="N4" s="18" t="str">
        <x:v>Live Team</x:v>
      </x:c>
      <x:c r="O4" s="18" t="str">
        <x:v>Excel Team</x:v>
      </x:c>
      <x:c r="P4" s="18" t="str">
        <x:v>Live RBI Marker</x:v>
      </x:c>
      <x:c r="Q4" s="18" t="str">
        <x:v>Status</x:v>
      </x:c>
      <x:c r="R4" s="18" t="str">
        <x:v>Recommendation</x:v>
      </x:c>
      <x:c r="S4" s="18" t="str">
        <x:v>Decision</x:v>
      </x:c>
      <x:c r="T4" s="18" t="str">
        <x:v>Approved Project ID</x:v>
      </x:c>
      <x:c r="U4" s="19" t="str">
        <x:v>Review Comment</x:v>
      </x:c>
    </x:row>
    <x:row r="5" ht="42" customHeight="1">
      <x:c r="A5" s="30" t="str">
        <x:v>1 кв проекты 2024 rbi.xlsx::проекты 1 кв 2024::19</x:v>
      </x:c>
      <x:c r="B5" s="30" t="str">
        <x:v>1 кв Проекты 2024_RBI.xlsx</x:v>
      </x:c>
      <x:c r="C5" s="30" t="str">
        <x:v>Проекты 1 кв 2024</x:v>
      </x:c>
      <x:c r="D5" s="30" t="n">
        <x:v>19</x:v>
      </x:c>
      <x:c r="E5" s="30" t="str">
        <x:v>ЧК Ellinton Group KAZ ltd</x:v>
      </x:c>
      <x:c r="F5" s="30" t="str">
        <x:v>Аудит ФО</x:v>
      </x:c>
      <x:c r="G5" s="30" t="str">
        <x:v>PE Russell Bedford A+ Partners</x:v>
      </x:c>
      <x:c r="H5" s="30" t="str">
        <x:v>conflict</x:v>
      </x:c>
      <x:c r="I5" s="30" t="str">
        <x:v>ТОО KAZ Intel Group</x:v>
      </x:c>
      <x:c r="J5" s="30" t="n">
        <x:v>68</x:v>
      </x:c>
      <x:c r="K5" s="30" t="str">
        <x:v>not_found</x:v>
      </x:c>
      <x:c r="L5" s="30" t="str">
        <x:v>1. «Berkut Mining» (Беркут Майнинг) (группа компаний АО Lancaster Group Kazakhstan) [33] (962f3649-f91b-4af2-87d2-7da045e6dda7)
2. АО Lancaster Group Kazakhstan [33] (3b22dd3f-37d0-40ec-8485-ce3b9b72c21f)
3. ТОО KAZ Intel Group [33] (ffdd44e0-a99d-4c1f-bd34-0ecc95b6ef5b)
4. Частная компания «Ellington Group KAZ» Ltd [33] (9498c171-2efb-4a0c-be5d-c58a3a2adcea)
5. Частная компания «Ellington Group KAZ» Ltd [33] (0555ddc6-5a21-4500-96e7-e30ab96c7cd2)</x:v>
      </x:c>
      <x:c r="M5" s="30" t="str">
        <x:v>partner differs: existing 4cb72e5f-7375-4278-bd38-b29a7e4a197c vs Шынгыс Сартаев</x:v>
      </x:c>
      <x:c r="N5" s="30" t="str"/>
      <x:c r="O5" s="30" t="str">
        <x:v>Шынгыс Сартаев [partner]
Медекенов Марат Макунович [manager_1]
Акулпа Исахан [assistant_1]</x:v>
      </x:c>
      <x:c r="P5" s="31" t="b">
        <x:v>0</x:v>
      </x:c>
      <x:c r="Q5" s="30" t="str">
        <x:v>needs_project_match</x:v>
      </x:c>
      <x:c r="R5" s="30" t="str">
        <x:v>choose_existing_project</x:v>
      </x:c>
      <x:c r="S5" s="30" t="str"/>
      <x:c r="T5" s="30" t="str"/>
      <x:c r="U5" s="30" t="str"/>
    </x:row>
    <x:row r="6" ht="42" customHeight="1">
      <x:c r="A6" s="32" t="str">
        <x:v>1 кв проекты 2024 rbi.xlsx::проекты 1 кв 2024::21</x:v>
      </x:c>
      <x:c r="B6" s="32" t="str">
        <x:v>1 кв Проекты 2024_RBI.xlsx</x:v>
      </x:c>
      <x:c r="C6" s="32" t="str">
        <x:v>Проекты 1 кв 2024</x:v>
      </x:c>
      <x:c r="D6" s="32" t="n">
        <x:v>21</x:v>
      </x:c>
      <x:c r="E6" s="32" t="str">
        <x:v>ЧК Kazakhstan Investment Development Fund</x:v>
      </x:c>
      <x:c r="F6" s="32" t="str">
        <x:v>Аудит ФО</x:v>
      </x:c>
      <x:c r="G6" s="32" t="str">
        <x:v>PE Russell Bedford A+ Partners</x:v>
      </x:c>
      <x:c r="H6" s="32" t="str">
        <x:v>conflict</x:v>
      </x:c>
      <x:c r="I6" s="32" t="str">
        <x:v>«Kazakhstan Investment Development Fund (KIDF) Management Company» Ltd.</x:v>
      </x:c>
      <x:c r="J6" s="32" t="n">
        <x:v>85</x:v>
      </x:c>
      <x:c r="K6" s="32" t="str">
        <x:v>probable</x:v>
      </x:c>
      <x:c r="L6" s="32" t="str">
        <x:v>1. 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 [84] (03813a13-459e-4d7f-ac17-8e2d050faccd)
2. «Kazakhstan Investment Development Fund (KIDF) Management Company» Ltd. [50] (421319ad-2ba0-4cdc-92af-f94aa4b15c6d)
3. «Kazakhstan Investment Development Fund (KIDF) Management Company» Ltd. [50] (7c2d2e93-8beb-46d1-a67f-447d21c07415)
4. Частная комапания «Kazakhstan Investment Development Fund (KIDF) Management Company»  - Аудит финансовой отчетности (далее – финансовая отчетность) «Direct Investment Fund «Kazakhstan Investment Development Fund (КIDF)» Ltd. (далее – KIDF), подготовленной в соответствии с Международными Стандартами Финансовой Отчетности (далее - МСФО) по состоянию на и за год, завершившийся 31 декабря 2025 года: [29] (63a9c971-6408-41ea-ac6c-63991b4651de)
5. Частная Компания «Kazakhstan Investment Development Fund (KIDF) Management Company» Ltd. - услуги по проведению аудита финансовой отчетности (далее – финансовая отчетность) Частной компании «Kazakhstan Investment Development Fund (KIDF) Management Company» Ltd. (далее – KIDF), подготовленной в соответствии с Международными Стандартами Финансовой Отчетности (далее - МСФО) по состоянию на и за год, завершившийся 31 декабря 2025 года [29] (8a0341c5-d915-4e7d-a535-df88c5ff8c30)</x:v>
      </x:c>
      <x:c r="M6" s="32" t="str"/>
      <x:c r="N6" s="32" t="str">
        <x:v>Арнабеков Ерлан [partner]</x:v>
      </x:c>
      <x:c r="O6" s="32" t="str">
        <x:v>Шынгыс Сартаев [partner]</x:v>
      </x:c>
      <x:c r="P6" s="33" t="b">
        <x:v>1</x:v>
      </x:c>
      <x:c r="Q6" s="32" t="str">
        <x:v>needs_project_match</x:v>
      </x:c>
      <x:c r="R6" s="32" t="str">
        <x:v>choose_existing_project</x:v>
      </x:c>
      <x:c r="S6" s="32" t="str"/>
      <x:c r="T6" s="32" t="str"/>
      <x:c r="U6" s="32" t="str"/>
    </x:row>
    <x:row r="7" ht="42" customHeight="1">
      <x:c r="A7" s="32" t="str">
        <x:v>1 кв проекты 2024 rbi.xlsx::проекты 1 кв 2024::69</x:v>
      </x:c>
      <x:c r="B7" s="32" t="str">
        <x:v>1 кв Проекты 2024_RBI.xlsx</x:v>
      </x:c>
      <x:c r="C7" s="32" t="str">
        <x:v>Проекты 1 кв 2024</x:v>
      </x:c>
      <x:c r="D7" s="32" t="n">
        <x:v>69</x:v>
      </x:c>
      <x:c r="E7" s="32" t="str">
        <x:v>Междунаролный арбитражный центр</x:v>
      </x:c>
      <x:c r="F7" s="32" t="str">
        <x:v>Аудит ФО</x:v>
      </x:c>
      <x:c r="G7" s="32" t="str">
        <x:v>IAC Russell Bedford A+ Partners LLP</x:v>
      </x:c>
      <x:c r="H7" s="32" t="str">
        <x:v>conflict</x:v>
      </x:c>
      <x:c r="I7" s="32" t="str">
        <x:v>Международный арбитражный центр МФЦА (МАЦ) </x:v>
      </x:c>
      <x:c r="J7" s="32" t="n">
        <x:v>68</x:v>
      </x:c>
      <x:c r="K7" s="32" t="str">
        <x:v>not_found</x:v>
      </x:c>
      <x:c r="L7" s="32" t="str">
        <x:v>1. Международный арбитражный центр МФЦА (МАЦ)  [33] (e96b4a92-9d54-4ddd-a555-798b8c647063)</x:v>
      </x:c>
      <x:c r="M7" s="32" t="str"/>
      <x:c r="N7" s="32" t="str"/>
      <x:c r="O7" s="32" t="str">
        <x:v>Шынгыс Сартаев [partner]</x:v>
      </x:c>
      <x:c r="P7" s="33" t="b">
        <x:v>0</x:v>
      </x:c>
      <x:c r="Q7" s="32" t="str">
        <x:v>needs_project_match</x:v>
      </x:c>
      <x:c r="R7" s="32" t="str">
        <x:v>choose_existing_project</x:v>
      </x:c>
      <x:c r="S7" s="32" t="str"/>
      <x:c r="T7" s="32" t="str"/>
      <x:c r="U7" s="32" t="str"/>
    </x:row>
    <x:row r="8" ht="42" customHeight="1">
      <x:c r="A8" s="32" t="str">
        <x:v>1 кв проекты 2024 rbi.xlsx::проекты 1 кв 2024::70</x:v>
      </x:c>
      <x:c r="B8" s="32" t="str">
        <x:v>1 кв Проекты 2024_RBI.xlsx</x:v>
      </x:c>
      <x:c r="C8" s="32" t="str">
        <x:v>Проекты 1 кв 2024</x:v>
      </x:c>
      <x:c r="D8" s="32" t="n">
        <x:v>70</x:v>
      </x:c>
      <x:c r="E8" s="32" t="str">
        <x:v>Суд МФЦА</x:v>
      </x:c>
      <x:c r="F8" s="32" t="str">
        <x:v>Аудит ФО</x:v>
      </x:c>
      <x:c r="G8" s="32" t="str">
        <x:v>IAC Russell Bedford A+ Partners LLP</x:v>
      </x:c>
      <x:c r="H8" s="32" t="str">
        <x:v>conflict</x:v>
      </x:c>
      <x:c r="I8" s="32" t="str">
        <x:v>Суд Международного финансового центра «Астана» </x:v>
      </x:c>
      <x:c r="J8" s="32" t="n">
        <x:v>72</x:v>
      </x:c>
      <x:c r="K8" s="32" t="str">
        <x:v>not_found</x:v>
      </x:c>
      <x:c r="L8" s="32" t="str">
        <x:v>1. АКЦИОНЕРНОЕ ОБЩЕСТВО "ЖИЛИЩНЫЙ СТРОИТЕЛЬНЫЙ СБЕРЕГАТЕЛЬНЫЙ БАНК "ОТБАСЫ БАНК" - Услуги по проведению аудита специального назначения субъектов квазигосударственного сектора [37] (74c47b36-93c2-4f0f-a066-a98fb0576865)
2. Акционерное Общество "Samruk-Kazyna Construction" - Услуги по проведению аудита специального назначения субъектов квазигосударственного сектора [37] (37633ed5-72be-4a2a-bea6-bd6e72c6637b)
3. АО КАЗАХСТАНСКАЯ ЖИЛИЩНАЯ КОМПАНИЯ - Услуги по проведению аудита специального назначения субъектов квазигосударственного сектора [37] (65e8a08e-a089-441e-97c1-12f533bd6c73)
4. Ограниченное Партнерство Kokzhiyek Fund LP - Консультационные услуги в области корпоративного права в рамках сопровождения деятельности фонда,
зарегистрированного на территории МФЦА
 [37] (e110488c-43d1-4ee6-ae7b-a59dd32401e8)
5. Ограниченное Партнерство Kokzhiyek Fund LP - услуги по сопровождению бухгалтерского и налогового учета деятельности фонда Kokzhiyek Fund LP,
зарегистрированного в юрисдикции МФЦА [37] (01c6dbd9-9ed5-4da5-8369-60009bebff2f)</x:v>
      </x:c>
      <x:c r="M8" s="32" t="str"/>
      <x:c r="N8" s="32" t="str"/>
      <x:c r="O8" s="32" t="str">
        <x:v>Шынгыс Сартаев [partner]
Жаркымбекова Камиля [assistant_1]</x:v>
      </x:c>
      <x:c r="P8" s="33" t="b">
        <x:v>0</x:v>
      </x:c>
      <x:c r="Q8" s="32" t="str">
        <x:v>needs_project_match</x:v>
      </x:c>
      <x:c r="R8" s="32" t="str">
        <x:v>choose_existing_project</x:v>
      </x:c>
      <x:c r="S8" s="32" t="str"/>
      <x:c r="T8" s="32" t="str"/>
      <x:c r="U8" s="32" t="str"/>
    </x:row>
    <x:row r="9" ht="42" customHeight="1">
      <x:c r="A9" s="32" t="str">
        <x:v>1 кв проекты 2024 rbi.xlsx::проекты 1 кв 2024::73</x:v>
      </x:c>
      <x:c r="B9" s="32" t="str">
        <x:v>1 кв Проекты 2024_RBI.xlsx</x:v>
      </x:c>
      <x:c r="C9" s="32" t="str">
        <x:v>Проекты 1 кв 2024</x:v>
      </x:c>
      <x:c r="D9" s="32" t="n">
        <x:v>73</x:v>
      </x:c>
      <x:c r="E9" s="32" t="str">
        <x:v>АО Фонд ФПК</x:v>
      </x:c>
      <x:c r="F9" s="32" t="str">
        <x:v>Аудит ФО</x:v>
      </x:c>
      <x:c r="G9" s="32" t="str">
        <x:v>IAC Russell Bedford A+ Partners LLP</x:v>
      </x:c>
      <x:c r="H9" s="32" t="str">
        <x:v>conflict</x:v>
      </x:c>
      <x:c r="I9" s="32" t="str">
        <x:v>АО «Акционерный инвестиционный фонд недвижимости «TG AL-Farabi» от Тримовой Сауле</x:v>
      </x:c>
      <x:c r="J9" s="32" t="n">
        <x:v>72</x:v>
      </x:c>
      <x:c r="K9" s="32" t="str">
        <x:v>not_found</x:v>
      </x:c>
      <x:c r="L9" s="32" t="str">
        <x:v>1. АО «Акционерный инвестиционный фонд недвижимости «TG AL-Farabi» от Тримовой Сауле [37] (44929955-29b6-4407-b935-e71be44d7d0e)
2. АО «Акционерный инвестиционный фонд рискового инвестирования «TG MED» от Тримовой Сауле [37] (0a22ced6-daec-40ec-82ef-b9ad21d0eba6)
3. АО «Фонд развития предпринимательства «ДАМУ» [37] (9a800db0-9bf9-4019-a140-4f15d78ef3cf)
4. АО Казахстанский фонд гарантирования депозитов [37] (c67a2b2c-e8ac-484a-9407-ec1933ef2863)
5. АО Казахстанский фонд гарантирования депозитов [37] (0df149f2-46ef-4afe-a719-e3e60ddd53a2)</x:v>
      </x:c>
      <x:c r="M9" s="32" t="str">
        <x:v>partner differs: existing 4cb72e5f-7375-4278-bd38-b29a7e4a197c vs Сауле Бадамбаева
partner differs: existing 4cb72e5f-7375-4278-bd38-b29a7e4a197c vs Ержан Тумабеков</x:v>
      </x:c>
      <x:c r="N9" s="32" t="str"/>
      <x:c r="O9" s="32" t="str">
        <x:v>Сауле Бадамбаева [partner]
Ержан Тумабеков [partner]</x:v>
      </x:c>
      <x:c r="P9" s="33" t="b">
        <x:v>0</x:v>
      </x:c>
      <x:c r="Q9" s="32" t="str">
        <x:v>needs_project_match</x:v>
      </x:c>
      <x:c r="R9" s="32" t="str">
        <x:v>choose_existing_project</x:v>
      </x:c>
      <x:c r="S9" s="32" t="str"/>
      <x:c r="T9" s="32" t="str"/>
      <x:c r="U9" s="32" t="str"/>
    </x:row>
    <x:row r="10" ht="42" customHeight="1">
      <x:c r="A10" s="32" t="str">
        <x:v>1 кв проекты 2024 rbi.xlsx::проекты 1 кв 2024::86</x:v>
      </x:c>
      <x:c r="B10" s="32" t="str">
        <x:v>1 кв Проекты 2024_RBI.xlsx</x:v>
      </x:c>
      <x:c r="C10" s="32" t="str">
        <x:v>Проекты 1 кв 2024</x:v>
      </x:c>
      <x:c r="D10" s="32" t="n">
        <x:v>86</x:v>
      </x:c>
      <x:c r="E10" s="32" t="str">
        <x:v>ТОО СИКА Казахстан</x:v>
      </x:c>
      <x:c r="F10" s="32" t="str">
        <x:v>Аудит ФО</x:v>
      </x:c>
      <x:c r="G10" s="32" t="str">
        <x:v>IAC Russell Bedford A+ Partners LLP</x:v>
      </x:c>
      <x:c r="H10" s="32" t="str">
        <x:v>conflict</x:v>
      </x:c>
      <x:c r="I10" s="32" t="str">
        <x:v>ТОО «Сика Сентрал Эйша»</x:v>
      </x:c>
      <x:c r="J10" s="32" t="n">
        <x:v>85</x:v>
      </x:c>
      <x:c r="K10" s="32" t="str">
        <x:v>conflict</x:v>
      </x:c>
      <x:c r="L10" s="32" t="str">
        <x:v>1. Акционерное общество "Национальная платежная корпорация Национального Банка Республики Казахстан" - АУДИТ за 2024 [72] (49694440-aee8-4cf4-af94-a8d4ef55a462)
2. АО "Республиканская телерадиокорпорация "Казахстан" (за 2024-2026гг) [60] (34cb9178-42ab-4479-96b1-59f9c1eff0a2)
3. АО "Республиканская телерадиокорпорация "Казахстан" (за 2024-2026гг) [60] (79fa8e30-5ba2-49ee-8916-cc490f855d28)
4. АО "Республиканская телерадиокорпорация "Казахстан" (за 2024-2026гг) [60] (dc446cf9-582d-422f-b872-1c69b4fc103c)
5. АО "Республиканская телерадиокорпорация "Казахстан" (за 2024-2026гг) [60] (62f8f591-75ad-4fdc-9a2b-5fe30ca91acc)</x:v>
      </x:c>
      <x:c r="M10" s="32" t="str">
        <x:v>partner differs: existing 3ceb66d6-1ecf-4ab2-8a98-aa2436b9d0fd vs Хаирбеков Адиль</x:v>
      </x:c>
      <x:c r="N10" s="32" t="str">
        <x:v>Сауле Бадамбаева [partner]
Нускабаева Райхан [project_leader]
Гульжан Чалова [manager_1]
Қасымбек Тинай Асқарқызы [assistant_1]
Кенжебек Мая Тельманкызы [manager_1]
Идрисов Спандияр [tax_specialist_1]</x:v>
      </x:c>
      <x:c r="O10" s="32" t="str">
        <x:v>Хаирбеков Адиль [partner]</x:v>
      </x:c>
      <x:c r="P10" s="33" t="b">
        <x:v>1</x:v>
      </x:c>
      <x:c r="Q10" s="32" t="str">
        <x:v>needs_project_match</x:v>
      </x:c>
      <x:c r="R10" s="32" t="str">
        <x:v>choose_existing_project</x:v>
      </x:c>
      <x:c r="S10" s="32" t="str"/>
      <x:c r="T10" s="32" t="str"/>
      <x:c r="U10" s="32" t="str"/>
    </x:row>
    <x:row r="11" ht="42" customHeight="1">
      <x:c r="A11" s="32" t="str">
        <x:v>1 кв проекты 2024 rbi.xlsx::проекты 1 кв 2024::92</x:v>
      </x:c>
      <x:c r="B11" s="32" t="str">
        <x:v>1 кв Проекты 2024_RBI.xlsx</x:v>
      </x:c>
      <x:c r="C11" s="32" t="str">
        <x:v>Проекты 1 кв 2024</x:v>
      </x:c>
      <x:c r="D11" s="32" t="n">
        <x:v>92</x:v>
      </x:c>
      <x:c r="E11" s="32" t="str">
        <x:v>Turkestan Tourism City Ltd.</x:v>
      </x:c>
      <x:c r="F11" s="32" t="str">
        <x:v>Аудит ФО</x:v>
      </x:c>
      <x:c r="G11" s="32" t="str">
        <x:v>PE Russell Bedford A+ Partners</x:v>
      </x:c>
      <x:c r="H11" s="32" t="str">
        <x:v>conflict</x:v>
      </x:c>
      <x:c r="I11" s="32" t="str">
        <x:v>Частная Компания Aktau Tourism City Ltd</x:v>
      </x:c>
      <x:c r="J11" s="32" t="n">
        <x:v>68</x:v>
      </x:c>
      <x:c r="K11" s="32" t="str">
        <x:v>not_found</x:v>
      </x:c>
      <x:c r="L11" s="32" t="str">
        <x:v>1. 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 [27] (03813a13-459e-4d7f-ac17-8e2d050faccd)
2. Частная Компания Aktau Tourism City Ltd [25] (b705908e-4f18-4d15-9ba0-59235f3dc10b)
3. Частная Компания Aktau Tourism City Ltd [25] (8e331c7d-c5ff-410a-9fd4-b1a2a7f174e4)
4. Частная Компания Aktau Tourism City Ltd [25] (5d047145-11a9-4dab-bdb2-07aa25ad077c)
5. Частная Компания Turkistan Tourism City Ltd [25] (34259f5d-7a6b-4ef3-876f-61851d0147d3)</x:v>
      </x:c>
      <x:c r="M11" s="32" t="str"/>
      <x:c r="N11" s="32" t="str"/>
      <x:c r="O11" s="32" t="str">
        <x:v>Шынгыс Сартаев [partner]
Кенжекулов Адилжан Абдикалыкович [partner]
Сартаева Гаухар Шыныбековна [manager_1]</x:v>
      </x:c>
      <x:c r="P11" s="33" t="b">
        <x:v>0</x:v>
      </x:c>
      <x:c r="Q11" s="32" t="str">
        <x:v>needs_project_match</x:v>
      </x:c>
      <x:c r="R11" s="32" t="str">
        <x:v>choose_existing_project</x:v>
      </x:c>
      <x:c r="S11" s="32" t="str"/>
      <x:c r="T11" s="32" t="str"/>
      <x:c r="U11" s="32" t="str"/>
    </x:row>
    <x:row r="12" ht="42" customHeight="1">
      <x:c r="A12" s="32" t="str">
        <x:v>1 кв проекты 2024 rbi.xlsx::проекты 1 кв 2024::94</x:v>
      </x:c>
      <x:c r="B12" s="32" t="str">
        <x:v>1 кв Проекты 2024_RBI.xlsx</x:v>
      </x:c>
      <x:c r="C12" s="32" t="str">
        <x:v>Проекты 1 кв 2024</x:v>
      </x:c>
      <x:c r="D12" s="32" t="n">
        <x:v>94</x:v>
      </x:c>
      <x:c r="E12" s="32" t="str">
        <x:v>IC Petrolium</x:v>
      </x:c>
      <x:c r="F12" s="32" t="str">
        <x:v>Аудит ФО</x:v>
      </x:c>
      <x:c r="G12" s="32" t="str">
        <x:v>IAC Russell Bedford A+ Partners LLP</x:v>
      </x:c>
      <x:c r="H12" s="32" t="str">
        <x:v>conflict</x:v>
      </x:c>
      <x:c r="I12" s="32" t="str">
        <x:v>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x:v>
      </x:c>
      <x:c r="J12" s="32" t="n">
        <x:v>84</x:v>
      </x:c>
      <x:c r="K12" s="32" t="str">
        <x:v>conflict</x:v>
      </x:c>
      <x:c r="L12" s="32" t="str">
        <x:v>1. 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 [84] (03813a13-459e-4d7f-ac17-8e2d050faccd)
2. Частная компания Unicorn Holdings Limited - услуг по проведению аудита финансовой отчетности Частной компании Unicorn Holdings Limited, за 2024 год, в соответствии с МСФО и МСА. Валюта презентации финансовой отчетности – в долларах США или в тенге [84] (a853d618-a602-42e9-8a7b-551d9680cc4f)
3. ТОО «IC Petroleum» (за период 2024-2026) [60] (3dac1a32-a0c9-4a40-853b-de6798112d4a)
4. ТОО «IC Petroleum» (за период 2024-2026) [60] (1663f55b-eb10-46c9-9803-d977c3c8e42f)
5. ТОО «IC Petroleum» (за период 2024-2026) [60] (24a32f15-50a8-41c1-ab6b-156413222b90)</x:v>
      </x:c>
      <x:c r="M12" s="32" t="str">
        <x:v>partner differs: existing c7fc625d-7836-4eed-90bb-b14541040f42 vs Сейфуллина Гульмира Саятхановна</x:v>
      </x:c>
      <x:c r="N12" s="32" t="str">
        <x:v>Арнабеков Ерлан [partner]</x:v>
      </x:c>
      <x:c r="O12" s="32" t="str">
        <x:v>Арнабеков Ерлан [partner]
Сейфуллина Гульмира Саятхановна [partner]
Забира Ерланкызы [supervisor_1]
Акулбеков Кайрат [assistant_1]</x:v>
      </x:c>
      <x:c r="P12" s="33" t="b">
        <x:v>1</x:v>
      </x:c>
      <x:c r="Q12" s="32" t="str">
        <x:v>needs_project_match</x:v>
      </x:c>
      <x:c r="R12" s="32" t="str">
        <x:v>choose_existing_project</x:v>
      </x:c>
      <x:c r="S12" s="32" t="str"/>
      <x:c r="T12" s="32" t="str"/>
      <x:c r="U12" s="32" t="str"/>
    </x:row>
    <x:row r="13" ht="42" customHeight="1">
      <x:c r="A13" s="32" t="str">
        <x:v>1 кв проекты 2025 rbi.xlsx::проекты 1 кв 2025::6</x:v>
      </x:c>
      <x:c r="B13" s="32" t="str">
        <x:v>1 кв Проекты 2025_RBI.xlsx</x:v>
      </x:c>
      <x:c r="C13" s="32" t="str">
        <x:v>Проекты 1 кв 2025</x:v>
      </x:c>
      <x:c r="D13" s="32" t="n">
        <x:v>6</x:v>
      </x:c>
      <x:c r="E13" s="32" t="str">
        <x:v>SPC Limited</x:v>
      </x:c>
      <x:c r="F13" s="32" t="str">
        <x:v>Аудит ФО</x:v>
      </x:c>
      <x:c r="G13" s="32" t="str">
        <x:v>ТОО Russell Bedford A+ Partners</x:v>
      </x:c>
      <x:c r="H13" s="32" t="str">
        <x:v>conflict</x:v>
      </x:c>
      <x:c r="I13" s="32" t="str">
        <x:v>Частная компания  Golden Leaves Ltd - услуг по проведению:
1.1.1. аудита консолидированной финансовой отчетности Частной компании  Golden Leaves Ltd., за 2025 год, в соответствии с МСФО и МСА. Валюта презентации финансовой отчетности – в долларах США;
1.1.2. аудита финансовой отчетности Kaz Financials SPC Limited, за 2025 год, в соответствии с МСФО и МСА. Валюта презентации финансовой отчетности – в долларах США;
1.1.3. аудита финансовой отчетности Global Fund A SPC Limited., за 2025 год, в соответствии с МСФО и МСА. Валюта презентации финансовой отчетности – в долларах США </x:v>
      </x:c>
      <x:c r="J13" s="32" t="n">
        <x:v>194</x:v>
      </x:c>
      <x:c r="K13" s="32" t="str">
        <x:v>conflict</x:v>
      </x:c>
      <x:c r="L13" s="32" t="str">
        <x:v>1. Компания специального назначения FF IUIF Fixed Income USD SPC Limited  - услуг по проведению аудита финансовой отчетности Компании специального назначения FF IUIF Fixed Income USD SPC Limited за период 2025 год (далее – «Услуги») по стандартам МСФО. Валюта презентации финансовой отчетности – в долларах США [194] (7673a94d-c82a-4731-b844-2fd0cab19c9d)
2. Компания специального назначения Fund of Initial Public Offerings SPC Limited  - услуг по проведению аудита финансовой отчетности Компании специального назначения FF IUIF Fixed Income USD SPC Limited за период 2025 год (далее – «Услуги») по стандартам МСФО. Валюта презентации финансовой отчетности – в долларах США [194] (f4c26e33-c26b-4422-9248-a36ce407d4e4)
3. Частная компания  Golden Leaves Ltd - услуг по проведению:
1.1.1. аудита консолидированной финансовой отчетности Частной компании  Golden Leaves Ltd., за 2025 год, в соответствии с МСФО и МСА. Валюта презентации финансовой отчетности – в долларах США;
1.1.2. аудита финансовой отчетности Kaz Financials SPC Limited, за 2025 год, в соответствии с МСФО и МСА. Валюта презентации финансовой отчетности – в долларах США;
1.1.3. аудита финансовой отчетности Global Fund A SPC Limited., за 2025 год, в соответствии с МСФО и МСА. Валюта презентации финансовой отчетности – в долларах США  [194] (59f4631a-a6df-475b-8543-d9405dc6206c)
4. Компания специального назначения Tolqyn SPC Ltd. - услуг по проведению аудита финансовой отчетности Компании специального назначения Tolqyn SPC Ltd, за 2025 год, в соответствии с МСФО и МСА. Валюта презентации финансовой отчетности – в долларах США или в тенге  [109] (9890ecb1-68e3-457d-acc1-060a5f1a1294)</x:v>
      </x:c>
      <x:c r="M13" s="32" t="str"/>
      <x:c r="N13" s="32" t="str"/>
      <x:c r="O13" s="32" t="str">
        <x:v>Шынгыс Сартаев [partner]
Жорабеков Жанибек [manager_2]
Мухашев Куаныш Кудашулы [partner]</x:v>
      </x:c>
      <x:c r="P13" s="33" t="b">
        <x:v>0</x:v>
      </x:c>
      <x:c r="Q13" s="32" t="str">
        <x:v>needs_project_match</x:v>
      </x:c>
      <x:c r="R13" s="32" t="str">
        <x:v>choose_existing_project</x:v>
      </x:c>
      <x:c r="S13" s="32" t="str"/>
      <x:c r="T13" s="32" t="str"/>
      <x:c r="U13" s="32" t="str"/>
    </x:row>
    <x:row r="14" ht="42" customHeight="1">
      <x:c r="A14" s="32" t="str">
        <x:v>1 кв проекты 2025 rbi.xlsx::проекты 1 кв 2025::8</x:v>
      </x:c>
      <x:c r="B14" s="32" t="str">
        <x:v>1 кв Проекты 2025_RBI.xlsx</x:v>
      </x:c>
      <x:c r="C14" s="32" t="str">
        <x:v>Проекты 1 кв 2025</x:v>
      </x:c>
      <x:c r="D14" s="32" t="n">
        <x:v>8</x:v>
      </x:c>
      <x:c r="E14" s="32" t="str">
        <x:v>АО КазмунайГаз -Сервис NS</x:v>
      </x:c>
      <x:c r="F14" s="32" t="str">
        <x:v>Аудит ФО</x:v>
      </x:c>
      <x:c r="G14" s="32" t="str">
        <x:v>ТОО Russell Bedford A+ Partners</x:v>
      </x:c>
      <x:c r="H14" s="32" t="str">
        <x:v>conflict</x:v>
      </x:c>
      <x:c r="I14" s="32" t="str">
        <x:v>АО «КазМунайГаз-Сервис NS» (за период 2023-2025)</x:v>
      </x:c>
      <x:c r="J14" s="32" t="n">
        <x:v>170</x:v>
      </x:c>
      <x:c r="K14" s="32" t="str">
        <x:v>conflict</x:v>
      </x:c>
      <x:c r="L14" s="32" t="str">
        <x:v>1. АО «КазМунайГаз-Сервис NS» (за период 2023-2025) [170] (30e2db17-0424-4e0f-8ce4-8ab91b68997f)
2. АО «КазМунайГаз-Сервис NS» (за период 2023-2025) [170] (efa2f844-9f2a-4012-b6dc-2b04eddb28d8)
3. АО «КазМунайГаз-Сервис NS» (за период 2023-2025) [170] (3ec6014d-1150-40d5-8489-d59ac8d4515d)
4. АО «КазМунайГаз-Сервис NS» (за период 2023-2025) [170] (93960cda-027a-4aea-903d-84d0858f79f6)
5. АО «КазМунайГаз-Сервис NS» (за период 2023-2025) [170] (05ef9429-81d7-4cc0-bf09-25c40194665b)</x:v>
      </x:c>
      <x:c r="M14" s="32" t="str"/>
      <x:c r="N14" s="32" t="str">
        <x:v>Арнабеков Ерлан [partner]
Жорабеков Жанибек [manager_2]
Бекжанов Бақытжан Абылқасымұлы [supervisor_1]
Сагадат Марат [assistant_1]
Ерлан Худайберген [tax_specialist_1]</x:v>
      </x:c>
      <x:c r="O14" s="32" t="str">
        <x:v>Арнабеков Ерлан [partner]
Жорабеков Жанибек [manager_2]</x:v>
      </x:c>
      <x:c r="P14" s="33" t="b">
        <x:v>1</x:v>
      </x:c>
      <x:c r="Q14" s="32" t="str">
        <x:v>needs_project_match</x:v>
      </x:c>
      <x:c r="R14" s="32" t="str">
        <x:v>choose_existing_project</x:v>
      </x:c>
      <x:c r="S14" s="32" t="str"/>
      <x:c r="T14" s="32" t="str"/>
      <x:c r="U14" s="32" t="str"/>
    </x:row>
    <x:row r="15" ht="42" customHeight="1">
      <x:c r="A15" s="32" t="str">
        <x:v>1 кв проекты 2025 rbi.xlsx::проекты 1 кв 2025::13</x:v>
      </x:c>
      <x:c r="B15" s="32" t="str">
        <x:v>1 кв Проекты 2025_RBI.xlsx</x:v>
      </x:c>
      <x:c r="C15" s="32" t="str">
        <x:v>Проекты 1 кв 2025</x:v>
      </x:c>
      <x:c r="D15" s="32" t="n">
        <x:v>13</x:v>
      </x:c>
      <x:c r="E15" s="32" t="str">
        <x:v>АО КазМунайГаз-Сервис NS</x:v>
      </x:c>
      <x:c r="F15" s="32" t="str">
        <x:v>Аудит ФО</x:v>
      </x:c>
      <x:c r="G15" s="32" t="str">
        <x:v>ТОО Russell Bedford A+ Partners</x:v>
      </x:c>
      <x:c r="H15" s="32" t="str">
        <x:v>conflict</x:v>
      </x:c>
      <x:c r="I15" s="32" t="str">
        <x:v>АО «КазМунайГаз-Сервис NS» (за период 2023-2025)</x:v>
      </x:c>
      <x:c r="J15" s="32" t="n">
        <x:v>170</x:v>
      </x:c>
      <x:c r="K15" s="32" t="str">
        <x:v>conflict</x:v>
      </x:c>
      <x:c r="L15" s="32" t="str">
        <x:v>1. АО «КазМунайГаз-Сервис NS» (за период 2023-2025) [170] (30e2db17-0424-4e0f-8ce4-8ab91b68997f)
2. АО «КазМунайГаз-Сервис NS» (за период 2023-2025) [170] (efa2f844-9f2a-4012-b6dc-2b04eddb28d8)
3. АО «КазМунайГаз-Сервис NS» (за период 2023-2025) [170] (3ec6014d-1150-40d5-8489-d59ac8d4515d)
4. АО «КазМунайГаз-Сервис NS» (за период 2023-2025) [170] (93960cda-027a-4aea-903d-84d0858f79f6)
5. АО «КазМунайГаз-Сервис NS» (за период 2023-2025) [170] (05ef9429-81d7-4cc0-bf09-25c40194665b)</x:v>
      </x:c>
      <x:c r="M15" s="32" t="str"/>
      <x:c r="N15" s="32" t="str">
        <x:v>Арнабеков Ерлан [partner]
Жорабеков Жанибек [manager_2]
Бекжанов Бақытжан Абылқасымұлы [supervisor_1]
Сагадат Марат [assistant_1]
Ерлан Худайберген [tax_specialist_1]</x:v>
      </x:c>
      <x:c r="O15" s="32" t="str">
        <x:v>Арнабеков Ерлан [partner]</x:v>
      </x:c>
      <x:c r="P15" s="33" t="b">
        <x:v>1</x:v>
      </x:c>
      <x:c r="Q15" s="32" t="str">
        <x:v>needs_project_match</x:v>
      </x:c>
      <x:c r="R15" s="32" t="str">
        <x:v>choose_existing_project</x:v>
      </x:c>
      <x:c r="S15" s="32" t="str"/>
      <x:c r="T15" s="32" t="str"/>
      <x:c r="U15" s="32" t="str"/>
    </x:row>
    <x:row r="16" ht="42" customHeight="1">
      <x:c r="A16" s="32" t="str">
        <x:v>1 кв проекты 2025 rbi.xlsx::проекты 1 кв 2025::16</x:v>
      </x:c>
      <x:c r="B16" s="32" t="str">
        <x:v>1 кв Проекты 2025_RBI.xlsx</x:v>
      </x:c>
      <x:c r="C16" s="32" t="str">
        <x:v>Проекты 1 кв 2025</x:v>
      </x:c>
      <x:c r="D16" s="32" t="n">
        <x:v>16</x:v>
      </x:c>
      <x:c r="E16" s="32" t="str">
        <x:v>Консолидированная Строительная Горнорудная Компания ТОО</x:v>
      </x:c>
      <x:c r="F16" s="32" t="str">
        <x:v>Аудит ФО</x:v>
      </x:c>
      <x:c r="G16" s="32" t="str">
        <x:v>ТОО Russell Bedford A+ Partners</x:v>
      </x:c>
      <x:c r="H16" s="32" t="str">
        <x:v>conflict</x:v>
      </x:c>
      <x:c r="I16" s="32" t="str">
        <x:v>ТОО «Консолидированная Строительная Горнорудная Компания» - услуг по проведению аудита финансовой отчетности ТОО «Консолидированная Строительная Горнорудная Компания» за 2025 год, подготовленной в соответствии с Международными Стандартами Финансовой Отчетности (МСФО) </x:v>
      </x:c>
      <x:c r="J16" s="32" t="n">
        <x:v>74</x:v>
      </x:c>
      <x:c r="K16" s="32" t="str">
        <x:v>conflict</x:v>
      </x:c>
      <x:c r="L16" s="32" t="str">
        <x:v>1. ТОО «Консолидированная Строительная Горнорудная Компания» - услуг по проведению аудита финансовой отчетности ТОО «Консолидированная Строительная Горнорудная Компания» за 2025 год, подготовленной в соответствии с Международными Стандартами Финансовой Отчетности (МСФО)  [74] (cfd3b502-9253-4dba-96ba-b43f5f399aa7)
2. ТОО «Консолидированная Строительная Горнорудная Компания» [50] (26d3b3fb-b7c3-4ca5-8360-a342f4ef5682)</x:v>
      </x:c>
      <x:c r="M16" s="32" t="str">
        <x:v>partner differs: existing c7fc625d-7836-4eed-90bb-b14541040f42 vs Сейфуллина Гульмира Саятхановна</x:v>
      </x:c>
      <x:c r="N16" s="32" t="str">
        <x:v>Арнабеков Ерлан [partner]</x:v>
      </x:c>
      <x:c r="O16" s="32" t="str">
        <x:v>Арнабеков Ерлан [partner]
Сейфуллина Гульмира Саятхановна [partner]</x:v>
      </x:c>
      <x:c r="P16" s="33" t="b">
        <x:v>0</x:v>
      </x:c>
      <x:c r="Q16" s="32" t="str">
        <x:v>needs_project_match</x:v>
      </x:c>
      <x:c r="R16" s="32" t="str">
        <x:v>choose_existing_project</x:v>
      </x:c>
      <x:c r="S16" s="32" t="str"/>
      <x:c r="T16" s="32" t="str"/>
      <x:c r="U16" s="32" t="str"/>
    </x:row>
    <x:row r="17" ht="42" customHeight="1">
      <x:c r="A17" s="32" t="str">
        <x:v>1 кв проекты 2025 rbi.xlsx::проекты 1 кв 2025::17</x:v>
      </x:c>
      <x:c r="B17" s="32" t="str">
        <x:v>1 кв Проекты 2025_RBI.xlsx</x:v>
      </x:c>
      <x:c r="C17" s="32" t="str">
        <x:v>Проекты 1 кв 2025</x:v>
      </x:c>
      <x:c r="D17" s="32" t="n">
        <x:v>17</x:v>
      </x:c>
      <x:c r="E17" s="32" t="str">
        <x:v>МАЦ МФЦА</x:v>
      </x:c>
      <x:c r="F17" s="32" t="str">
        <x:v>Аудит ФО</x:v>
      </x:c>
      <x:c r="G17" s="32" t="str">
        <x:v>ТОО Russell Bedford A+ Partners</x:v>
      </x:c>
      <x:c r="H17" s="32" t="str">
        <x:v>conflict</x:v>
      </x:c>
      <x:c r="I17" s="32" t="str">
        <x:v>Международный арбитражный центр МФЦА (МАЦ) </x:v>
      </x:c>
      <x:c r="J17" s="32" t="n">
        <x:v>85</x:v>
      </x:c>
      <x:c r="K17" s="32" t="str">
        <x:v>conflict</x:v>
      </x:c>
      <x:c r="L17" s="32" t="str">
        <x:v>1. АО «Национальные информационные технологии» - на безвозмездное оказание аудиторских услуг - услуг по проведению аудита отдельной и консолидированной финансовой отчетности Акционерного общества «Национальные информационные технологии», заканчивающийся 31.12.2025 года, подготовленной в соответствии с Международными Стандартами Финансовой Отчетности, для предоставления и размещения на фондовой бирже KASE.KZ и не используется для иных целей, в том числе для бухгалтерского и налогового учета Заказчика  [84] (905166ec-326e-4e60-9273-fce0d09191f7)
2. Частная компания Neomarkets Ltd., - 1.1.	 Заказчик поручает и оплачивает, а Исполнитель принимает на себя обязательство по оказанию Заказчику услуг:
- Аудит финансовой отчетности Частной компании Neomarkets Ltd. за 2025 год, подготовленной в соответствии с Международными Стандартами Финансовой Отчетности (МСФО). Валюта презентации финансовой отчетности – в тенге и в USD.
- Проверка корректности расчетов пруденциальных нормативов Частной Компании Neomarkets Ltd. в течение года и содержания квартальной отчетности по ним, направленной Регулятору МФЦА, в соответствии с требованиями НПА МФЦА за 2025 год (далее – услуги).
 [84] (2852cc4f-cdad-4cb1-9c5d-df77a5929cfe)
3. Частная Компания Title Broker International Ltd - Провести аудит и подготовить отчет по финансовой отчетности Title Broker International Ltd. за 2025 финансовый год для Заказчика с соблюдением и в соответствии Международных стандартов финансовой отчетности ("МСФО") и нормативом, установленных МФЦА, включая Положение о компаниях МФЦА, Правил о компаний МФЦА и применимым законодательство МФЦА. Валюта презентации финансовой отчетности – в долларах США  [84] (1b92ca8f-66e3-4564-9a69-ae9a274a438d)
4. Международный арбитражный центр МФЦА (МАЦ)  [50] (e96b4a92-9d54-4ddd-a555-798b8c647063)
5. Акционерное общество «Национальные информационные технологии» - Услуги по проведению ревизий финансовых [37] (ff749fc8-128c-4fa4-abe9-c7591be534e5)</x:v>
      </x:c>
      <x:c r="M17" s="32" t="str"/>
      <x:c r="N17" s="32" t="str">
        <x:v>Кенжекулов Адилжан Абдикалыкович [partner]</x:v>
      </x:c>
      <x:c r="O17" s="32" t="str">
        <x:v>Шынгыс Сартаев [partner]</x:v>
      </x:c>
      <x:c r="P17" s="33" t="b">
        <x:v>1</x:v>
      </x:c>
      <x:c r="Q17" s="32" t="str">
        <x:v>needs_project_match</x:v>
      </x:c>
      <x:c r="R17" s="32" t="str">
        <x:v>choose_existing_project</x:v>
      </x:c>
      <x:c r="S17" s="32" t="str"/>
      <x:c r="T17" s="32" t="str"/>
      <x:c r="U17" s="32" t="str"/>
    </x:row>
    <x:row r="18" ht="42" customHeight="1">
      <x:c r="A18" s="32" t="str">
        <x:v>1 кв проекты 2025 rbi.xlsx::проекты 1 кв 2025::18</x:v>
      </x:c>
      <x:c r="B18" s="32" t="str">
        <x:v>1 кв Проекты 2025_RBI.xlsx</x:v>
      </x:c>
      <x:c r="C18" s="32" t="str">
        <x:v>Проекты 1 кв 2025</x:v>
      </x:c>
      <x:c r="D18" s="32" t="n">
        <x:v>18</x:v>
      </x:c>
      <x:c r="E18" s="32" t="str">
        <x:v>Суд МФЦА</x:v>
      </x:c>
      <x:c r="F18" s="32" t="str">
        <x:v>Аудит ФО</x:v>
      </x:c>
      <x:c r="G18" s="32" t="str">
        <x:v>ТОО Russell Bedford A+ Partners</x:v>
      </x:c>
      <x:c r="H18" s="32" t="str">
        <x:v>conflict</x:v>
      </x:c>
      <x:c r="I18" s="32" t="str">
        <x:v>Республиканское государственное учреждение «Министерство финансов Республики Казахстан» - Аудита инвестиционных проектов, финансируемых Международным Банком Реконструкции и Развития (МБРР), за период с 1 января 2025 года по 31 декабря 2025 года
</x:v>
      </x:c>
      <x:c r="J18" s="32" t="n">
        <x:v>84</x:v>
      </x:c>
      <x:c r="K18" s="32" t="str">
        <x:v>conflict</x:v>
      </x:c>
      <x:c r="L18" s="32" t="str">
        <x:v>1. Объединение юридических лиц «Ассоциация «Сеть Глобального Договора в Центральной Азии»» - услуги по проведению аудита финансовой отчетности Объединения юридических лиц «Ассоциация «Сеть Глобального Договора в Центральной Азии» (дата государственной регистрации — 04.06.2025 г.) за 2025 год, подготовленной в соответствии с Международными стандартами финансовой отчетности (МСФО)  [84] (f7ec272b-1b49-4bd9-ba91-260395e02139)
2. Республиканское государственное учреждение «Министерство финансов Республики Казахстан» - Аудита инвестиционных проектов, финансируемых Международным Банком Реконструкции и Развития (МБРР), за период с 1 января 2025 года по 31 декабря 2025 года
 [84] (3202cb3a-9f27-416d-afc1-d240bd4cfa33)
3. Частная компания Neomarkets Ltd., - 1.1.	 Заказчик поручает и оплачивает, а Исполнитель принимает на себя обязательство по оказанию Заказчику услуг:
- Аудит финансовой отчетности Частной компании Neomarkets Ltd. за 2025 год, подготовленной в соответствии с Международными Стандартами Финансовой Отчетности (МСФО). Валюта презентации финансовой отчетности – в тенге и в USD.
- Проверка корректности расчетов пруденциальных нормативов Частной Компании Neomarkets Ltd. в течение года и содержания квартальной отчетности по ним, направленной Регулятору МФЦА, в соответствии с требованиями НПА МФЦА за 2025 год (далее – услуги).
 [84] (2852cc4f-cdad-4cb1-9c5d-df77a5929cfe)
4. Частная компания Qazaqstan Investment Capital Management Ltd. - аудиторские услуги, включая Сопутствующие услуги, по проведению аудита отдельной финансовой отчетности Заказчика, подготовленные в соответствии с МСФО и в соответствии с перечнем, формами, утвержденными нормативным актом уполномоченного государственного органа Республики Казахстан в соответствии с Законом Республики Казахстан №234-III «О бухгалтерском учете и финансовой отчетности» по состоянию за год, заканчивающийся 31 декабря 2025 года [84] (b1e705c4-ce8d-41e1-b13c-8ff8120a7b6b)
5. Частная Компания Title Broker International Ltd - Провести аудит и подготовить отчет по финансовой отчетности Title Broker International Ltd. за 2025 финансовый год для Заказчика с соблюдением и в соответствии Международных стандартов финансовой отчетности ("МСФО") и нормативом, установленных МФЦА, включая Положение о компаниях МФЦА, Правил о компаний МФЦА и применимым законодательство МФЦА. Валюта презентации финансовой отчетности – в долларах США  [84] (1b92ca8f-66e3-4564-9a69-ae9a274a438d)</x:v>
      </x:c>
      <x:c r="M18" s="32" t="str"/>
      <x:c r="N18" s="32" t="str"/>
      <x:c r="O18" s="32" t="str">
        <x:v>Шынгыс Сартаев [partner]
Жаркымбекова Камиля [assistant_1]
Айдана Иргебаева [assistant_1]</x:v>
      </x:c>
      <x:c r="P18" s="33" t="b">
        <x:v>0</x:v>
      </x:c>
      <x:c r="Q18" s="32" t="str">
        <x:v>needs_project_match</x:v>
      </x:c>
      <x:c r="R18" s="32" t="str">
        <x:v>choose_existing_project</x:v>
      </x:c>
      <x:c r="S18" s="32" t="str"/>
      <x:c r="T18" s="32" t="str"/>
      <x:c r="U18" s="32" t="str"/>
    </x:row>
    <x:row r="19" ht="42" customHeight="1">
      <x:c r="A19" s="32" t="str">
        <x:v>1 кв проекты 2025 rbi.xlsx::проекты 1 кв 2025::24</x:v>
      </x:c>
      <x:c r="B19" s="32" t="str">
        <x:v>1 кв Проекты 2025_RBI.xlsx</x:v>
      </x:c>
      <x:c r="C19" s="32" t="str">
        <x:v>Проекты 1 кв 2025</x:v>
      </x:c>
      <x:c r="D19" s="32" t="n">
        <x:v>24</x:v>
      </x:c>
      <x:c r="E19" s="32" t="str">
        <x:v>ТОО Oil Construction Company</x:v>
      </x:c>
      <x:c r="F19" s="32" t="str">
        <x:v>Аудит ФО</x:v>
      </x:c>
      <x:c r="G19" s="32" t="str">
        <x:v>ТОО Russell Bedford A+ Partners</x:v>
      </x:c>
      <x:c r="H19" s="32" t="str">
        <x:v>conflict</x:v>
      </x:c>
      <x:c r="I19" s="32" t="str">
        <x:v>ТОО «Oil Construction Company» (за период 2022-2024)</x:v>
      </x:c>
      <x:c r="J19" s="32" t="n">
        <x:v>170</x:v>
      </x:c>
      <x:c r="K19" s="32" t="str">
        <x:v>conflict</x:v>
      </x:c>
      <x:c r="L19" s="32" t="str">
        <x:v>1. ТОО «Oil Construction Company» (за период 2022-2024) [170] (ca8526ed-4e82-4566-bf08-ced1855f8166)
2. ТОО «Oil Construction Company» (за период 2022-2024) [170] (942e5751-7666-4d58-a696-17f2c63f4b1d)
3. ТОО «Oil Construction Company» (за период 2025-2027) [170] (0629f630-5092-4e09-8b63-84ea343c288f)
4. ТОО «Oil Construction Company» (за период 2025-2027) [170] (9c7b15cc-50c0-469a-8d68-63d21ba942bd)
5. ТОО «Oil Construction Company» (за период 2025-2027) [170] (6a0c7388-724d-445c-a66b-35d6dd3927e1)</x:v>
      </x:c>
      <x:c r="M19" s="32" t="str"/>
      <x:c r="N19" s="32" t="str">
        <x:v>Нускабаева Райхан [manager]
Галымжанов Нурхан Нурланович [manager]
Zabira Yerlankyzy [supervisor]
Ерлан Худайберген [tax_specialist]
Қасымбек Тинай Асқарқызы [assistant]
Кенжекулов Адилжан Абдикалыкович [partner]
Нускабаева Райхан [project_leader]
Жамбыл Ернур [assistant_1]
Zabira Yerlankyzy [supervisor_1]
Идрисов Спандияр [tax_specialist_1]</x:v>
      </x:c>
      <x:c r="O19" s="32" t="str">
        <x:v>Кенжекулов Адилжан Абдикалыкович [partner]
Нускабаева Райхан [manager_1]
Қасымбек Тинай Асқарқызы [assistant_1]
Забира Ерланкызы [supervisor_1]</x:v>
      </x:c>
      <x:c r="P19" s="33" t="b">
        <x:v>0</x:v>
      </x:c>
      <x:c r="Q19" s="32" t="str">
        <x:v>needs_project_match</x:v>
      </x:c>
      <x:c r="R19" s="32" t="str">
        <x:v>choose_existing_project</x:v>
      </x:c>
      <x:c r="S19" s="32" t="str"/>
      <x:c r="T19" s="32" t="str"/>
      <x:c r="U19" s="32" t="str"/>
    </x:row>
    <x:row r="20" ht="42" customHeight="1">
      <x:c r="A20" s="32" t="str">
        <x:v>1 кв проекты 2025 rbi.xlsx::проекты 1 кв 2025::43</x:v>
      </x:c>
      <x:c r="B20" s="32" t="str">
        <x:v>1 кв Проекты 2025_RBI.xlsx</x:v>
      </x:c>
      <x:c r="C20" s="32" t="str">
        <x:v>Проекты 1 кв 2025</x:v>
      </x:c>
      <x:c r="D20" s="32" t="n">
        <x:v>43</x:v>
      </x:c>
      <x:c r="E20" s="32" t="str">
        <x:v>ТОО Микр. организация ФРИДОМ ФИНАНС Кредит</x:v>
      </x:c>
      <x:c r="F20" s="32" t="str">
        <x:v>Аудит ФО</x:v>
      </x:c>
      <x:c r="G20" s="32" t="str">
        <x:v>ТОО Russell Bedford A+ Partners</x:v>
      </x:c>
      <x:c r="H20" s="32" t="str">
        <x:v>conflict</x:v>
      </x:c>
      <x:c r="I20" s="32" t="str">
        <x:v>ТОО «Микрофинансовая организация ФРИДОМ ФИНАНС Кредит»</x:v>
      </x:c>
      <x:c r="J20" s="32" t="n">
        <x:v>97</x:v>
      </x:c>
      <x:c r="K20" s="32" t="str">
        <x:v>conflict</x:v>
      </x:c>
      <x:c r="L20" s="32" t="str">
        <x:v>1. ТОО «Микрофинансовая Организация «ЮНИКРЕДО» - услуг по проведению аудита финансовой отчетности ТОО «Микрофинансовая Организация «ЮНИКРЕДО за период с 1 января 2025 года по 31 декабря 2025 года, подготовленной в соответствии с Международными Стандартами Финансовой Отчетности  [79] (40772585-e08b-4502-b487-416425be8379)
2. ТОО «Микрофинансовая Организация «MOST» - услуг по проведению аудита финансовой отчетности ТОО «Микрофинансовая Организация «MOST», за 2025 год, подготовленной в соответствии с Международными Стандартами Финансовой Отчетности (МСФО) [79] (2a0a4856-2bff-48cc-a56e-f69730d2859d)
3. ТОО Микрофинансовая организация InvesCore Finance - 1.1 Аудит финансовой отчетности ТОО «Микрофинансовая организация МФО InvesCore Finance» за 2025 год, подготовленной в соответствии с Международными стандартами финансовой отчетности, (далее – Услуги);
1.2	Проведение онлайн-встречи с материнской компанией (Комитет по аудиту) и возможной встречи с групповым аудитором для обсуждения аудиторского отчёта, не более 8 (восьми) часов
 [79] (56340057-1683-4513-a067-04fa7f8efe18)
4. ТОО Первое кредитное бюро - 1.1.	Заказчик поручает и оплачивает, а Исполнитель принимает на себя обязательство по оказанию Заказчику:
1.1.1.	услуг по проведению аудита финансовой отчетности ТОО «Первое кредитное бюро» за период с 1 января 2025 года по 31 декабря 2025 года, подготовленной в соответствии с Международными Стандартами Финансовой Отчетности (далее – аудит);
1.1.2.	консультационные услуги по вопросам бухгалтерского и налогового учета в соответствии с п. 1.1.2 (в размере 15 часов в течение года)
 [79] (1230cb40-4c39-4c36-8b45-dea10fb83afa)
5. ТОО «Микрофинансовая организация ФРИДОМ ФИНАНС Кредит» [52] (ee88c6d0-e1ea-4846-b6fb-3170a48358ea)</x:v>
      </x:c>
      <x:c r="M20" s="32" t="str"/>
      <x:c r="N20" s="32" t="str">
        <x:v>Шынгыс Сартаев [partner]
Нурсултан [assistant_1]
Хаирбеков Адиль [assistant_1]</x:v>
      </x:c>
      <x:c r="O20" s="32" t="str">
        <x:v>Кенжекулов Адилжан Абдикалыкович [partner]</x:v>
      </x:c>
      <x:c r="P20" s="33" t="b">
        <x:v>1</x:v>
      </x:c>
      <x:c r="Q20" s="32" t="str">
        <x:v>needs_project_match</x:v>
      </x:c>
      <x:c r="R20" s="32" t="str">
        <x:v>choose_existing_project</x:v>
      </x:c>
      <x:c r="S20" s="32" t="str"/>
      <x:c r="T20" s="32" t="str"/>
      <x:c r="U20" s="32" t="str"/>
    </x:row>
    <x:row r="21" ht="42" customHeight="1">
      <x:c r="A21" s="32" t="str">
        <x:v>1 кв проекты 2025 rbi.xlsx::проекты 1 кв 2025::75</x:v>
      </x:c>
      <x:c r="B21" s="32" t="str">
        <x:v>1 кв Проекты 2025_RBI.xlsx</x:v>
      </x:c>
      <x:c r="C21" s="32" t="str">
        <x:v>Проекты 1 кв 2025</x:v>
      </x:c>
      <x:c r="D21" s="32" t="n">
        <x:v>75</x:v>
      </x:c>
      <x:c r="E21" s="32" t="str">
        <x:v>ТОО ИЗА</x:v>
      </x:c>
      <x:c r="F21" s="32" t="str"/>
      <x:c r="G21" s="32" t="str"/>
      <x:c r="H21" s="32" t="str">
        <x:v>conflict</x:v>
      </x:c>
      <x:c r="I21" s="32" t="str">
        <x:v>ТОО «Микрофинансовая организация ФРИДОМ ФИНАНС Кредит»</x:v>
      </x:c>
      <x:c r="J21" s="32" t="n">
        <x:v>85</x:v>
      </x:c>
      <x:c r="K21" s="32" t="str">
        <x:v>conflict</x:v>
      </x:c>
      <x:c r="L21" s="32" t="str">
        <x:v>1. Евразийский фонд стабилизации и развития - аудит финансовой отчетности специального назначения по Проекту «Строительство и материально-техническое оснащение общеобразовательных учреждений в Кыргызской Республике» по состоянию на 31 декабря 2025 года [85] (87e9a80a-18f2-4301-b91b-3d993198cbc4)
2. ТОО «Микрофинансовая Организация «ЮНИКРЕДО» - услуг по проведению аудита финансовой отчетности ТОО «Микрофинансовая Организация «ЮНИКРЕДО за период с 1 января 2025 года по 31 декабря 2025 года, подготовленной в соответствии с Международными Стандартами Финансовой Отчетности  [85] (40772585-e08b-4502-b487-416425be8379)
3. ТОО «Микрофинансовая Организация «MOST» - услуг по проведению аудита финансовой отчетности ТОО «Микрофинансовая Организация «MOST», за 2025 год, подготовленной в соответствии с Международными Стандартами Финансовой Отчетности (МСФО) [85] (2a0a4856-2bff-48cc-a56e-f69730d2859d)
4. ТОО Микрофинансовая организация InvesCore Finance - 1.1 Аудит финансовой отчетности ТОО «Микрофинансовая организация МФО InvesCore Finance» за 2025 год, подготовленной в соответствии с Международными стандартами финансовой отчетности, (далее – Услуги);
1.2	Проведение онлайн-встречи с материнской компанией (Комитет по аудиту) и возможной встречи с групповым аудитором для обсуждения аудиторского отчёта, не более 8 (восьми) часов
 [85] (56340057-1683-4513-a067-04fa7f8efe18)
5. АО АстанаГаз КМГ - Услуги оценки ставки WACC, исходя из средневзвешенной стоимости капитала организации для проведения теста на
обесценение активов согласно МСФО 36 [50] (03cd1950-501d-46ab-aea2-119a521468ed)</x:v>
      </x:c>
      <x:c r="M21" s="32" t="str"/>
      <x:c r="N21" s="32" t="str">
        <x:v>Шынгыс Сартаев [partner]</x:v>
      </x:c>
      <x:c r="O21" s="32" t="str">
        <x:v>Забира Ерланкызы [supervisor_1]</x:v>
      </x:c>
      <x:c r="P21" s="33" t="b">
        <x:v>0</x:v>
      </x:c>
      <x:c r="Q21" s="32" t="str">
        <x:v>needs_project_match</x:v>
      </x:c>
      <x:c r="R21" s="32" t="str">
        <x:v>choose_existing_project</x:v>
      </x:c>
      <x:c r="S21" s="32" t="str"/>
      <x:c r="T21" s="32" t="str"/>
      <x:c r="U21" s="32" t="str"/>
    </x:row>
    <x:row r="22" ht="42" customHeight="1">
      <x:c r="A22" s="32" t="str">
        <x:v>1 кв проекты 2025 rbi.xlsx::проекты 1 кв 2025::80</x:v>
      </x:c>
      <x:c r="B22" s="32" t="str">
        <x:v>1 кв Проекты 2025_RBI.xlsx</x:v>
      </x:c>
      <x:c r="C22" s="32" t="str">
        <x:v>Проекты 1 кв 2025</x:v>
      </x:c>
      <x:c r="D22" s="32" t="n">
        <x:v>80</x:v>
      </x:c>
      <x:c r="E22" s="32" t="str">
        <x:v>ТОО ЕТС Клиринговый центр</x:v>
      </x:c>
      <x:c r="F22" s="32" t="str">
        <x:v>Аудит ФО</x:v>
      </x:c>
      <x:c r="G22" s="32" t="str">
        <x:v>ТОО Russell Bedford A+ Partners</x:v>
      </x:c>
      <x:c r="H22" s="32" t="str">
        <x:v>conflict</x:v>
      </x:c>
      <x:c r="I22" s="32" t="str">
        <x:v>Филиал Корпорации «Центры для международных программ» в Казахстане - аудит финансовой отчетности Филиала Корпорации «Центры для международных программ» в Казахстане за год, закончившийся 31 декабря 2025 года, в соответствии с местными стандартами </x:v>
      </x:c>
      <x:c r="J22" s="32" t="n">
        <x:v>92</x:v>
      </x:c>
      <x:c r="K22" s="32" t="str">
        <x:v>conflict</x:v>
      </x:c>
      <x:c r="L22" s="32" t="str">
        <x:v>1. Объединение юридических лиц «Ассоциация «Сеть Глобального Договора в Центральной Азии»» - услуги по проведению аудита финансовой отчетности Объединения юридических лиц «Ассоциация «Сеть Глобального Договора в Центральной Азии» (дата государственной регистрации — 04.06.2025 г.) за 2025 год, подготовленной в соответствии с Международными стандартами финансовой отчетности (МСФО)  [92] (f7ec272b-1b49-4bd9-ba91-260395e02139)
2. Филиал Корпорации «Центры для международных программ» в Казахстане - аудит финансовой отчетности Филиала Корпорации «Центры для международных программ» в Казахстане за год, закончившийся 31 декабря 2025 года, в соответствии с местными стандартами  [92] (f5ae0bdd-6a9b-4662-93fc-a2964123b51a)
3. Филиал Корпорации «Центры для международных программ» в Казахстане - аудит финансовой отчетности Филиала Корпорации «Центры для международных программ» в Казахстане за год, закончившийся 31 декабря 2025 года, в соответствии с местными стандартами  [92] (6c057e87-76cb-4b22-bdb3-ec0ee8da63bb)
4. Филиал Корпорации «Центры для международных программ» в Казахстане» - аудит финансовой отчетности Филиала Корпорации «Центры для международных программ» в Казахстане за год, закончившийся 31 декабря 2025 года, в соответствии с местными стандартами  [92] (61d18bc8-f0f6-4b9b-b4c3-3a84bbd29dc6)
5. Общество с ограниченной ответственностью «Азия Трейд Компани» - оценка БЦ Административное здание с земельным участком (Бизнес центр). 42.880350, 74.585672. 10526,3 кв.м./0,3951 га. 
 [33] (d14c6450-f3c0-40b7-b6e8-8f54fea8e7d9)</x:v>
      </x:c>
      <x:c r="M22" s="32" t="str"/>
      <x:c r="N22" s="32" t="str"/>
      <x:c r="O22" s="32" t="str">
        <x:v>Арнабеков Ерлан [partner]</x:v>
      </x:c>
      <x:c r="P22" s="33" t="b">
        <x:v>0</x:v>
      </x:c>
      <x:c r="Q22" s="32" t="str">
        <x:v>needs_project_match</x:v>
      </x:c>
      <x:c r="R22" s="32" t="str">
        <x:v>choose_existing_project</x:v>
      </x:c>
      <x:c r="S22" s="32" t="str"/>
      <x:c r="T22" s="32" t="str"/>
      <x:c r="U22" s="32" t="str"/>
    </x:row>
    <x:row r="23" ht="42" customHeight="1">
      <x:c r="A23" s="32" t="str">
        <x:v>1 кв проекты 2025 rbi.xlsx::проекты 1 кв 2025::82</x:v>
      </x:c>
      <x:c r="B23" s="32" t="str">
        <x:v>1 кв Проекты 2025_RBI.xlsx</x:v>
      </x:c>
      <x:c r="C23" s="32" t="str">
        <x:v>Проекты 1 кв 2025</x:v>
      </x:c>
      <x:c r="D23" s="32" t="n">
        <x:v>82</x:v>
      </x:c>
      <x:c r="E23" s="32" t="str">
        <x:v>TG Global</x:v>
      </x:c>
      <x:c r="F23" s="32" t="str">
        <x:v>Аудит ФО</x:v>
      </x:c>
      <x:c r="G23" s="32" t="str">
        <x:v>ТОО Russell Bedford A+ Partners</x:v>
      </x:c>
      <x:c r="H23" s="32" t="str">
        <x:v>conflict</x:v>
      </x:c>
      <x:c r="I23" s="32" t="str">
        <x:v>ЧК Открытого Инвестиционного Типа Tg Global Raimondo Fund Oeic Limited - Услуги по проведению аудита отдельной и консолидированной финансовой отчётности</x:v>
      </x:c>
      <x:c r="J23" s="32" t="n">
        <x:v>194</x:v>
      </x:c>
      <x:c r="K23" s="32" t="str">
        <x:v>conflict</x:v>
      </x:c>
      <x:c r="L23" s="32" t="str">
        <x:v>1.  Частная компания открытого инвестиционного типа TG Global PRE-IPO Fund I OEIC Limited. - Услуги по проведению аудита отдельной и консолидированной финансовой отчётности [159] (360689d4-6dac-4e34-aecc-e7afd8570423)
2. Частная компания открытого инвестиционного типа TG Global Pre-IPO Fund II OEIC Limited  - Услуги по проведению аудита отдельной и консолидированной финансовой отчётности [159] (56442a92-ca05-4120-8cc3-487dd5f20c2e)
3. ЧАСТНАЯ КОМПАНИЯ ОТКРЫТОГО ИНВЕСТИЦИОННОГО ТИПА TG GLOBAL PRE-IPO FUND III OEIC LIMITED - Услуги по проведению аудита отдельной и консолидированной финансовой отчётности [159] (f596cb67-c52f-4b41-9011-517d6924149d)
4. ЧАСТНАЯ КОМПАНИЯ ОТКРЫТОГО ИНВЕСТИЦИОННОГО ТИПА TG GLOBAL SARYARKA FUND OEIC LIMITED - Услуги по проведению аудита отдельной и консолидированной финансовой отчётности [159] (7e166492-87ee-4eeb-81a7-4cadb8bc7bd0)
5. ЧАСТНАЯ КОМПАНИЯ ОТКРЫТОГО ИНВЕСТИЦИОННОГО ТИПА TG GLOBAL ZHETYSU FUND OEIC LIMITED - Услуги по проведению аудита отдельной и консолидированной финансовой отчётности [159] (eec21dae-dd06-40cb-a6bf-bdbf86f1927f)</x:v>
      </x:c>
      <x:c r="M23" s="32" t="str"/>
      <x:c r="N23" s="32" t="str"/>
      <x:c r="O23" s="32" t="str">
        <x:v>Кенжекулов Адилжан Абдикалыкович [partner]
Сауле Тримова [assistant_1]</x:v>
      </x:c>
      <x:c r="P23" s="33" t="b">
        <x:v>0</x:v>
      </x:c>
      <x:c r="Q23" s="32" t="str">
        <x:v>needs_project_match</x:v>
      </x:c>
      <x:c r="R23" s="32" t="str">
        <x:v>choose_existing_project</x:v>
      </x:c>
      <x:c r="S23" s="32" t="str"/>
      <x:c r="T23" s="32" t="str"/>
      <x:c r="U23" s="32" t="str"/>
    </x:row>
    <x:row r="24" ht="42" customHeight="1">
      <x:c r="A24" s="32" t="str">
        <x:v>1 кв проекты 2025 rbi.xlsx::проекты 1 кв 2025::87</x:v>
      </x:c>
      <x:c r="B24" s="32" t="str">
        <x:v>1 кв Проекты 2025_RBI.xlsx</x:v>
      </x:c>
      <x:c r="C24" s="32" t="str">
        <x:v>Проекты 1 кв 2025</x:v>
      </x:c>
      <x:c r="D24" s="32" t="n">
        <x:v>87</x:v>
      </x:c>
      <x:c r="E24" s="32" t="str">
        <x:v>Филиал "Мангистау Пауэр Б.В."</x:v>
      </x:c>
      <x:c r="F24" s="32" t="str">
        <x:v>Аудит ФО</x:v>
      </x:c>
      <x:c r="G24" s="32" t="str">
        <x:v>ТОО Russell Bedford A+ Partners</x:v>
      </x:c>
      <x:c r="H24" s="32" t="str">
        <x:v>conflict</x:v>
      </x:c>
      <x:c r="I24" s="32" t="str">
        <x:v>Филиал компании «Мангистау Пауэр Б.В.»  - 1.1.	Заказчик поручает и оплачивает, а Исполнитель принимает на себя обязательство по оказанию Заказчику:
1.1.1. Аудит финансовой отчетности за год, закончившийся 31 декабря 2025 года, в соответствии с местными стандартами;
1.1.2. Выполнение указаний аудиторов Группы </x:v>
      </x:c>
      <x:c r="J24" s="32" t="n">
        <x:v>74</x:v>
      </x:c>
      <x:c r="K24" s="32" t="str">
        <x:v>conflict</x:v>
      </x:c>
      <x:c r="L24" s="32" t="str">
        <x:v>1. Филиал компании «Мангистау Пауэр Б.В.»  - 1.1.	Заказчик поручает и оплачивает, а Исполнитель принимает на себя обязательство по оказанию Заказчику:
1.1.1. Аудит финансовой отчетности за год, закончившийся 31 декабря 2025 года, в соответствии с местными стандартами;
1.1.2. Выполнение указаний аудиторов Группы  [74] (7481dc59-7178-419c-8b92-a2fc50946c20)
2. Филиал компании «Мангистау Реньюваблс Б.В.» - 1.1.	Заказчик поручает и оплачивает, а Исполнитель принимает на себя обязательство по оказанию Заказчику:
1.1.1. Аудит финансовой отчетности за год, закончившийся 31 декабря 2025 года, в соответствии с местными стандартами;
1.1.2. Выполнение указаний аудиторов Группы  [62] (f6492d2b-2987-4949-b5f8-e8edca947863)
3. Филиал компании «Мангистау Пауэр Б.В.» [50] (04afe8c2-acd9-4e9b-9958-06c94e07e451)
4. Филиал компании «Мангистау Реньюваблс Б.В.» [38] (21533a9c-08f7-4a95-a026-84e7f0d4911e)
5. Филиал ЧКОО «КМГ Кашаган Б.В.»  - услуг по проведению согласованных процедура  реестра выставленных Заказчиком для возмещения NCOC N.V. счетов за 2027 год по прикомандированным работникам и по расходам на технические услуги, оказываемые Заказчиком, в том числе аффилиированными лицами ЧКОО «КМГ Кашаган Б.В.» в рамках соответствующих соглашений по Северо-Каспийскому проекту и предоставлением подтверждения по форме и требованиям, соответствующим требованиям документов по Северо-Каспийскому проекту; [37] (38a18ea9-7c4f-477b-b4cc-a6142101d53b)</x:v>
      </x:c>
      <x:c r="M24" s="32" t="str"/>
      <x:c r="N24" s="32" t="str">
        <x:v>Шынгыс Сартаев [partner]</x:v>
      </x:c>
      <x:c r="O24" s="32" t="str">
        <x:v>Шынгыс Сартаев [partner]</x:v>
      </x:c>
      <x:c r="P24" s="33" t="b">
        <x:v>0</x:v>
      </x:c>
      <x:c r="Q24" s="32" t="str">
        <x:v>needs_project_match</x:v>
      </x:c>
      <x:c r="R24" s="32" t="str">
        <x:v>choose_existing_project</x:v>
      </x:c>
      <x:c r="S24" s="32" t="str"/>
      <x:c r="T24" s="32" t="str"/>
      <x:c r="U24" s="32" t="str"/>
    </x:row>
    <x:row r="25" ht="42" customHeight="1">
      <x:c r="A25" s="32" t="str">
        <x:v>1 кв проекты 2025 rbi.xlsx::проекты 1 кв 2025::88</x:v>
      </x:c>
      <x:c r="B25" s="32" t="str">
        <x:v>1 кв Проекты 2025_RBI.xlsx</x:v>
      </x:c>
      <x:c r="C25" s="32" t="str">
        <x:v>Проекты 1 кв 2025</x:v>
      </x:c>
      <x:c r="D25" s="32" t="n">
        <x:v>88</x:v>
      </x:c>
      <x:c r="E25" s="32" t="str">
        <x:v>Филиал "Мангистау Реньюваблс Б.В."</x:v>
      </x:c>
      <x:c r="F25" s="32" t="str">
        <x:v>Аудит ФО</x:v>
      </x:c>
      <x:c r="G25" s="32" t="str">
        <x:v>ТОО Russell Bedford A+ Partners</x:v>
      </x:c>
      <x:c r="H25" s="32" t="str">
        <x:v>conflict</x:v>
      </x:c>
      <x:c r="I25" s="32" t="str">
        <x:v>Филиал компании «Мангистау Реньюваблс Б.В.» - 1.1.	Заказчик поручает и оплачивает, а Исполнитель принимает на себя обязательство по оказанию Заказчику:
1.1.1. Аудит финансовой отчетности за год, закончившийся 31 декабря 2025 года, в соответствии с местными стандартами;
1.1.2. Выполнение указаний аудиторов Группы </x:v>
      </x:c>
      <x:c r="J25" s="32" t="n">
        <x:v>74</x:v>
      </x:c>
      <x:c r="K25" s="32" t="str">
        <x:v>conflict</x:v>
      </x:c>
      <x:c r="L25" s="32" t="str">
        <x:v>1. Филиал компании «Мангистау Реньюваблс Б.В.» - 1.1.	Заказчик поручает и оплачивает, а Исполнитель принимает на себя обязательство по оказанию Заказчику:
1.1.1. Аудит финансовой отчетности за год, закончившийся 31 декабря 2025 года, в соответствии с местными стандартами;
1.1.2. Выполнение указаний аудиторов Группы  [74] (f6492d2b-2987-4949-b5f8-e8edca947863)
2. Филиал компании «Мангистау Пауэр Б.В.»  - 1.1.	Заказчик поручает и оплачивает, а Исполнитель принимает на себя обязательство по оказанию Заказчику:
1.1.1. Аудит финансовой отчетности за год, закончившийся 31 декабря 2025 года, в соответствии с местными стандартами;
1.1.2. Выполнение указаний аудиторов Группы  [62] (7481dc59-7178-419c-8b92-a2fc50946c20)
3. Филиал компании «Мангистау Реньюваблс Б.В.» [50] (21533a9c-08f7-4a95-a026-84e7f0d4911e)
4. Филиал компании «Мангистау Пауэр Б.В.» [38] (04afe8c2-acd9-4e9b-9958-06c94e07e451)
5. Филиал ЧКОО «КМГ Кашаган Б.В.»  - услуг по проведению согласованных процедура  реестра выставленных Заказчиком для возмещения NCOC N.V. счетов за 2027 год по прикомандированным работникам и по расходам на технические услуги, оказываемые Заказчиком, в том числе аффилиированными лицами ЧКОО «КМГ Кашаган Б.В.» в рамках соответствующих соглашений по Северо-Каспийскому проекту и предоставлением подтверждения по форме и требованиям, соответствующим требованиям документов по Северо-Каспийскому проекту; [37] (38a18ea9-7c4f-477b-b4cc-a6142101d53b)</x:v>
      </x:c>
      <x:c r="M25" s="32" t="str"/>
      <x:c r="N25" s="32" t="str">
        <x:v>Шынгыс Сартаев [partner]</x:v>
      </x:c>
      <x:c r="O25" s="32" t="str">
        <x:v>Шынгыс Сартаев [partner]</x:v>
      </x:c>
      <x:c r="P25" s="33" t="b">
        <x:v>0</x:v>
      </x:c>
      <x:c r="Q25" s="32" t="str">
        <x:v>needs_project_match</x:v>
      </x:c>
      <x:c r="R25" s="32" t="str">
        <x:v>choose_existing_project</x:v>
      </x:c>
      <x:c r="S25" s="32" t="str"/>
      <x:c r="T25" s="32" t="str"/>
      <x:c r="U25" s="32" t="str"/>
    </x:row>
    <x:row r="26" ht="42" customHeight="1">
      <x:c r="A26" s="32" t="str">
        <x:v>1 кв проекты 2025 rbi.xlsx::проекты 1 кв 2025::93</x:v>
      </x:c>
      <x:c r="B26" s="32" t="str">
        <x:v>1 кв Проекты 2025_RBI.xlsx</x:v>
      </x:c>
      <x:c r="C26" s="32" t="str">
        <x:v>Проекты 1 кв 2025</x:v>
      </x:c>
      <x:c r="D26" s="32" t="n">
        <x:v>93</x:v>
      </x:c>
      <x:c r="E26" s="32" t="str">
        <x:v>ЧК Fin Q</x:v>
      </x:c>
      <x:c r="F26" s="32" t="str">
        <x:v>Аудит ФО</x:v>
      </x:c>
      <x:c r="G26" s="32" t="str">
        <x:v>ТОО Russell Bedford A+ Partners</x:v>
      </x:c>
      <x:c r="H26" s="32" t="str">
        <x:v>conflict</x:v>
      </x:c>
      <x:c r="I26" s="32" t="str">
        <x:v>Частная компания  Golden Leaves Ltd - услуг по проведению:
1.1.1. аудита консолидированной финансовой отчетности Частной компании  Golden Leaves Ltd., за 2025 год, в соответствии с МСФО и МСА. Валюта презентации финансовой отчетности – в долларах США;
1.1.2. аудита финансовой отчетности Kaz Financials SPC Limited, за 2025 год, в соответствии с МСФО и МСА. Валюта презентации финансовой отчетности – в долларах США;
1.1.3. аудита финансовой отчетности Global Fund A SPC Limited., за 2025 год, в соответствии с МСФО и МСА. Валюта презентации финансовой отчетности – в долларах США </x:v>
      </x:c>
      <x:c r="J26" s="32" t="n">
        <x:v>109</x:v>
      </x:c>
      <x:c r="K26" s="32" t="str">
        <x:v>conflict</x:v>
      </x:c>
      <x:c r="L26" s="32" t="str">
        <x:v>1. ТОО Микрофинансовая организация InvesCore Finance - 1.1 Аудит финансовой отчетности ТОО «Микрофинансовая организация МФО InvesCore Finance» за 2025 год, подготовленной в соответствии с Международными стандартами финансовой отчетности, (далее – Услуги);
1.2	Проведение онлайн-встречи с материнской компанией (Комитет по аудиту) и возможной встречи с групповым аудитором для обсуждения аудиторского отчёта, не более 8 (восьми) часов
 [109] (56340057-1683-4513-a067-04fa7f8efe18)
2. ТОО FINSOFT SOLUTOIN  - услуг по проведению аудита финансовой отчетности за 2025 год [109] (6bc1e3a8-df2c-4395-be50-e8bbc19815fb)
3. Частная компания  Golden Leaves Ltd - услуг по проведению:
1.1.1. аудита консолидированной финансовой отчетности Частной компании  Golden Leaves Ltd., за 2025 год, в соответствии с МСФО и МСА. Валюта презентации финансовой отчетности – в долларах США;
1.1.2. аудита финансовой отчетности Kaz Financials SPC Limited, за 2025 год, в соответствии с МСФО и МСА. Валюта презентации финансовой отчетности – в долларах США;
1.1.3. аудита финансовой отчетности Global Fund A SPC Limited., за 2025 год, в соответствии с МСФО и МСА. Валюта презентации финансовой отчетности – в долларах США  [109] (59f4631a-a6df-475b-8543-d9405dc6206c)
4. Частная компания EA Group Finance Ltd - услуг по проведению аудита финансовой отчетности Частной компании EA Group Finance Ltd., за 2025 год, в соответствии с МСФО и МСА. Валюта презентации финансовой отчетности – в долларах США или в тенге  [109] (1814aa5f-33ff-436e-b228-1916e7456648)
5. TOO FINSOFT SOLUTION (участник Астана Хаб) - услуг по проведению согласованных процедурах в отношении подтверждения соответствия участника приоритетным видам деятельность и структуре доходов, за 2025 год  [85] (4b3f1bd6-41b7-4f3a-9567-2febac5691ee)</x:v>
      </x:c>
      <x:c r="M26" s="32" t="str"/>
      <x:c r="N26" s="32" t="str">
        <x:v>Шынгыс Сартаев [partner]
Ембердиев Ермек [project_leader]</x:v>
      </x:c>
      <x:c r="O26" s="32" t="str">
        <x:v>Сауле Бадамбаева [partner]
Нускабаева Райхан [manager_1]
Қасымбек Тинай Асқарқызы [assistant_1]
Акмолдир Омарова [assistant_1]</x:v>
      </x:c>
      <x:c r="P26" s="33" t="b">
        <x:v>1</x:v>
      </x:c>
      <x:c r="Q26" s="32" t="str">
        <x:v>needs_project_match</x:v>
      </x:c>
      <x:c r="R26" s="32" t="str">
        <x:v>choose_existing_project</x:v>
      </x:c>
      <x:c r="S26" s="32" t="str"/>
      <x:c r="T26" s="32" t="str"/>
      <x:c r="U26" s="32" t="str"/>
    </x:row>
    <x:row r="27" ht="42" customHeight="1">
      <x:c r="A27" s="32" t="str">
        <x:v>1 кв проекты 2025 rbi.xlsx::проекты 1 кв 2025::100</x:v>
      </x:c>
      <x:c r="B27" s="32" t="str">
        <x:v>1 кв Проекты 2025_RBI.xlsx</x:v>
      </x:c>
      <x:c r="C27" s="32" t="str">
        <x:v>Проекты 1 кв 2025</x:v>
      </x:c>
      <x:c r="D27" s="32" t="n">
        <x:v>100</x:v>
      </x:c>
      <x:c r="E27" s="32" t="str">
        <x:v>ЧК AIFC Markets Limited</x:v>
      </x:c>
      <x:c r="F27" s="32" t="str">
        <x:v>Аудит ФО</x:v>
      </x:c>
      <x:c r="G27" s="32" t="str">
        <x:v>ТОО Russell Bedford A+ Partners</x:v>
      </x:c>
      <x:c r="H27" s="32" t="str">
        <x:v>conflict</x:v>
      </x:c>
      <x:c r="I27" s="32" t="str">
        <x:v>Частная компания Neomarkets Ltd., - 1.1.	 Заказчик поручает и оплачивает, а Исполнитель принимает на себя обязательство по оказанию Заказчику услуг:
- Аудит финансовой отчетности Частной компании Neomarkets Ltd. за 2025 год, подготовленной в соответствии с Международными Стандартами Финансовой Отчетности (МСФО). Валюта презентации финансовой отчетности – в тенге и в USD.
- Проверка корректности расчетов пруденциальных нормативов Частной Компании Neomarkets Ltd. в течение года и содержания квартальной отчетности по ним, направленной Регулятору МФЦА, в соответствии с требованиями НПА МФЦА за 2025 год (далее – услуги).
</x:v>
      </x:c>
      <x:c r="J27" s="32" t="n">
        <x:v>84</x:v>
      </x:c>
      <x:c r="K27" s="32" t="str">
        <x:v>conflict</x:v>
      </x:c>
      <x:c r="L27" s="32" t="str">
        <x:v>1. Частная компания Neomarkets Ltd., - 1.1.	 Заказчик поручает и оплачивает, а Исполнитель принимает на себя обязательство по оказанию Заказчику услуг:
- Аудит финансовой отчетности Частной компании Neomarkets Ltd. за 2025 год, подготовленной в соответствии с Международными Стандартами Финансовой Отчетности (МСФО). Валюта презентации финансовой отчетности – в тенге и в USD.
- Проверка корректности расчетов пруденциальных нормативов Частной Компании Neomarkets Ltd. в течение года и содержания квартальной отчетности по ним, направленной Регулятору МФЦА, в соответствии с требованиями НПА МФЦА за 2025 год (далее – услуги).
 [84] (2852cc4f-cdad-4cb1-9c5d-df77a5929cfe)
2. Amicorp Fund Services (AIFC) Limited  - услуг по проведению аудита финансовой отчетности Amicorp Fund Services (AIFC) Limited, за 2025 год, в соответствии с МСФО и МСА. [84] (ae1a1c49-10a7-4046-860d-357f95c9a2e6)
3. Частная компания Neomarkets Ltd [25] (4f26eb55-6503-44ad-8a8c-1ffc1aacc407)</x:v>
      </x:c>
      <x:c r="M27" s="32" t="str"/>
      <x:c r="N27" s="32" t="str"/>
      <x:c r="O27" s="32" t="str">
        <x:v>Шынгыс Сартаев [partner]</x:v>
      </x:c>
      <x:c r="P27" s="33" t="b">
        <x:v>0</x:v>
      </x:c>
      <x:c r="Q27" s="32" t="str">
        <x:v>needs_project_match</x:v>
      </x:c>
      <x:c r="R27" s="32" t="str">
        <x:v>choose_existing_project</x:v>
      </x:c>
      <x:c r="S27" s="32" t="str"/>
      <x:c r="T27" s="32" t="str"/>
      <x:c r="U27" s="32" t="str"/>
    </x:row>
    <x:row r="28" ht="42" customHeight="1">
      <x:c r="A28" s="32" t="str">
        <x:v>1 кв проекты 2025 rbi.xlsx::проекты 1 кв 2025::102</x:v>
      </x:c>
      <x:c r="B28" s="32" t="str">
        <x:v>1 кв Проекты 2025_RBI.xlsx</x:v>
      </x:c>
      <x:c r="C28" s="32" t="str">
        <x:v>Проекты 1 кв 2025</x:v>
      </x:c>
      <x:c r="D28" s="32" t="n">
        <x:v>102</x:v>
      </x:c>
      <x:c r="E28" s="32" t="str">
        <x:v>ТОО Запад Строй Е Р С</x:v>
      </x:c>
      <x:c r="F28" s="32" t="str">
        <x:v>Аудит ФО</x:v>
      </x:c>
      <x:c r="G28" s="32" t="str">
        <x:v>ТОО Russell Bedford A+ Partners</x:v>
      </x:c>
      <x:c r="H28" s="32" t="str">
        <x:v>conflict</x:v>
      </x:c>
      <x:c r="I28" s="32" t="str">
        <x:v>Евразийский фонд стабилизации и развития - аудит финансовой отчетности специального назначения по Проекту «Строительство и материально-техническое оснащение общеобразовательных учреждений в Кыргызской Республике» по состоянию на 31 декабря 2025 года</x:v>
      </x:c>
      <x:c r="J28" s="32" t="n">
        <x:v>84</x:v>
      </x:c>
      <x:c r="K28" s="32" t="str">
        <x:v>not_found</x:v>
      </x:c>
      <x:c r="L28" s="32" t="str">
        <x:v>1. ТОО «Отау-Строй» [25] (683ed7ac-836f-4868-abec-bf09ac9a3cc7)
2. ТОО Нефтестройсервис ЛТД [25] (bfb5e910-ff64-4369-8c9a-c478cc2f4b50)
3. ТОО Промстрой - Энерго [25] (ff06eefc-a22c-4984-a1d6-154c33e58ee8)
4. ТОО ЭлектроСтройМонтаж [25] (55622189-3858-4b66-b7aa-43d88acfd72c)</x:v>
      </x:c>
      <x:c r="M28" s="32" t="str">
        <x:v>partner differs: existing 3ceb66d6-1ecf-4ab2-8a98-aa2436b9d0fd vs Кудайбергенова Шолпанай</x:v>
      </x:c>
      <x:c r="N28" s="32" t="str"/>
      <x:c r="O28" s="32" t="str">
        <x:v>Кудайбергенова Шолпанай [partner]</x:v>
      </x:c>
      <x:c r="P28" s="33" t="b">
        <x:v>0</x:v>
      </x:c>
      <x:c r="Q28" s="32" t="str">
        <x:v>needs_project_match</x:v>
      </x:c>
      <x:c r="R28" s="32" t="str">
        <x:v>choose_existing_project</x:v>
      </x:c>
      <x:c r="S28" s="32" t="str"/>
      <x:c r="T28" s="32" t="str"/>
      <x:c r="U28" s="32" t="str"/>
    </x:row>
    <x:row r="29" ht="42" customHeight="1">
      <x:c r="A29" s="32" t="str">
        <x:v>1 кв проекты 2026 rbi.xlsx::проекты 1 кв 2026::7</x:v>
      </x:c>
      <x:c r="B29" s="32" t="str">
        <x:v>1 кв Проекты 2026_RBI.xlsx</x:v>
      </x:c>
      <x:c r="C29" s="32" t="str">
        <x:v>Проекты 1 кв 2026</x:v>
      </x:c>
      <x:c r="D29" s="32" t="n">
        <x:v>7</x:v>
      </x:c>
      <x:c r="E29" s="32" t="str">
        <x:v>Акционерное общество «Национальная горнорудная компания «Taу-Keн Самрук»</x:v>
      </x:c>
      <x:c r="F29" s="32" t="str"/>
      <x:c r="G29" s="32" t="str"/>
      <x:c r="H29" s="32" t="str">
        <x:v>conflict</x:v>
      </x:c>
      <x:c r="I29" s="32" t="str">
        <x:v>АО «Национальная горнорудная компания «Тау-Кен Самрук» (аудит за 2025-2029гг)</x:v>
      </x:c>
      <x:c r="J29" s="32" t="n">
        <x:v>65</x:v>
      </x:c>
      <x:c r="K29" s="32" t="str">
        <x:v>not_found</x:v>
      </x:c>
      <x:c r="L29" s="32" t="str">
        <x:v>1. АО «Национальная горнорудная компания «Тау-Кен Самрук» (аудит за 2025-2029гг) [56] (bba4e3dd-d508-418f-9c48-23ce65dbc4f9)
2. АО «Национальная горнорудная компания «Тау-Кен Самрук» (аудит за 2025-2029гг) [56] (2eb886af-107b-45b1-be4d-7fad12337505)
3. АО «Национальная горнорудная компания «Тау-Кен Самрук» (аудит за 2025-2029гг) [56] (44ca9c70-7135-43bc-bb8e-17a1f714cd77)
4. АО «Национальная горнорудная компания «Тау-Кен Самрук» (аудит за 2025-2029гг) [56] (841540c8-722a-43ef-af9d-cd1673370575)
5. АО «Национальная горнорудная компания «Тау-Кен Самрук» (аудит за 2025-2029гг) [56] (d3df9f84-f475-4589-98a5-2ee601c45114)</x:v>
      </x:c>
      <x:c r="M29" s="32" t="str"/>
      <x:c r="N29" s="32" t="str"/>
      <x:c r="O29" s="32" t="str">
        <x:v>Кенжекулов Адилжан Абдикалыкович [partner]
Жаркымбекова Камиля [project_leader]</x:v>
      </x:c>
      <x:c r="P29" s="33" t="b">
        <x:v>0</x:v>
      </x:c>
      <x:c r="Q29" s="32" t="str">
        <x:v>needs_project_match</x:v>
      </x:c>
      <x:c r="R29" s="32" t="str">
        <x:v>choose_existing_project</x:v>
      </x:c>
      <x:c r="S29" s="32" t="str"/>
      <x:c r="T29" s="32" t="str"/>
      <x:c r="U29" s="32" t="str"/>
    </x:row>
    <x:row r="30" ht="42" customHeight="1">
      <x:c r="A30" s="32" t="str">
        <x:v>1 кв проекты 2026 rbi.xlsx::проекты 1 кв 2026::10</x:v>
      </x:c>
      <x:c r="B30" s="32" t="str">
        <x:v>1 кв Проекты 2026_RBI.xlsx</x:v>
      </x:c>
      <x:c r="C30" s="32" t="str">
        <x:v>Проекты 1 кв 2026</x:v>
      </x:c>
      <x:c r="D30" s="32" t="n">
        <x:v>10</x:v>
      </x:c>
      <x:c r="E30" s="32" t="str">
        <x:v>АО КазМунайГаз-Сервис NS</x:v>
      </x:c>
      <x:c r="F30" s="32" t="str"/>
      <x:c r="G30" s="32" t="str"/>
      <x:c r="H30" s="32" t="str">
        <x:v>conflict</x:v>
      </x:c>
      <x:c r="I30" s="32" t="str">
        <x:v>АО «КазМунайГаз-Сервис NS» (за период 2023-2025)</x:v>
      </x:c>
      <x:c r="J30" s="32" t="n">
        <x:v>170</x:v>
      </x:c>
      <x:c r="K30" s="32" t="str">
        <x:v>conflict</x:v>
      </x:c>
      <x:c r="L30" s="32" t="str">
        <x:v>1. АО «КазМунайГаз-Сервис NS» (за период 2023-2025) [170] (30e2db17-0424-4e0f-8ce4-8ab91b68997f)
2. АО «КазМунайГаз-Сервис NS» (за период 2023-2025) [170] (efa2f844-9f2a-4012-b6dc-2b04eddb28d8)
3. АО «КазМунайГаз-Сервис NS» (за период 2023-2025) [170] (3ec6014d-1150-40d5-8489-d59ac8d4515d)
4. АО «КазМунайГаз-Сервис NS» (за период 2023-2025) [170] (93960cda-027a-4aea-903d-84d0858f79f6)
5. АО «КазМунайГаз-Сервис NS» (за период 2023-2025) [170] (05ef9429-81d7-4cc0-bf09-25c40194665b)</x:v>
      </x:c>
      <x:c r="M30" s="32" t="str"/>
      <x:c r="N30" s="32" t="str">
        <x:v>Арнабеков Ерлан [partner]
Жорабеков Жанибек [manager_2]
Бекжанов Бақытжан Абылқасымұлы [supervisor_1]
Сагадат Марат [assistant_1]
Ерлан Худайберген [tax_specialist_1]</x:v>
      </x:c>
      <x:c r="O30" s="32" t="str">
        <x:v>Арнабеков Ерлан [partner]</x:v>
      </x:c>
      <x:c r="P30" s="33" t="b">
        <x:v>1</x:v>
      </x:c>
      <x:c r="Q30" s="32" t="str">
        <x:v>needs_project_match</x:v>
      </x:c>
      <x:c r="R30" s="32" t="str">
        <x:v>choose_existing_project</x:v>
      </x:c>
      <x:c r="S30" s="32" t="str"/>
      <x:c r="T30" s="32" t="str"/>
      <x:c r="U30" s="32" t="str"/>
    </x:row>
    <x:row r="31" ht="42" customHeight="1">
      <x:c r="A31" s="32" t="str">
        <x:v>1 кв проекты 2026 rbi.xlsx::проекты 1 кв 2026::11</x:v>
      </x:c>
      <x:c r="B31" s="32" t="str">
        <x:v>1 кв Проекты 2026_RBI.xlsx</x:v>
      </x:c>
      <x:c r="C31" s="32" t="str">
        <x:v>Проекты 1 кв 2026</x:v>
      </x:c>
      <x:c r="D31" s="32" t="n">
        <x:v>11</x:v>
      </x:c>
      <x:c r="E31" s="32" t="str">
        <x:v>АО Национальная Платежная корпорация НБРК</x:v>
      </x:c>
      <x:c r="F31" s="32" t="str"/>
      <x:c r="G31" s="32" t="str"/>
      <x:c r="H31" s="32" t="str">
        <x:v>conflict</x:v>
      </x:c>
      <x:c r="I31" s="32" t="str">
        <x:v>АО «Национальная платежная корпорация Национального Банка Республики Казахстан»</x:v>
      </x:c>
      <x:c r="J31" s="32" t="n">
        <x:v>73</x:v>
      </x:c>
      <x:c r="K31" s="32" t="str">
        <x:v>not_found</x:v>
      </x:c>
      <x:c r="L31" s="32" t="str">
        <x:v>1. АО «Национальная платежная корпорация Национального Банка Республики Казахстан» [38] (bef2ac7d-ef84-44fe-a70d-3adbbfa9d332)
2. 	АО "Социально-предпринимательская корпорация "Актобе" (за 2024-2026гг) - Закуп услуги по проведению аудита финансовой отчетности за 2024–2025-2026 годы Акционерного общества «Социально-предпринимательская
корпорация «Актобе»
Аудит за 2026 год [3] (e5039b53-76ad-4967-b953-7fbf6fda0939)
3. АО "Республиканская телерадиокорпорация "Казахстан" (за 2024-2026гг) [3] (34cb9178-42ab-4479-96b1-59f9c1eff0a2)
4. АО "Республиканская телерадиокорпорация "Казахстан" (за 2024-2026гг) [3] (79fa8e30-5ba2-49ee-8916-cc490f855d28)
5. АО "Республиканская телерадиокорпорация "Казахстан" (за 2024-2026гг) [3] (dc446cf9-582d-422f-b872-1c69b4fc103c)</x:v>
      </x:c>
      <x:c r="M31" s="32" t="str"/>
      <x:c r="N31" s="32" t="str"/>
      <x:c r="O31" s="32" t="str">
        <x:v>Сауле Бадамбаева [partner]
Кенжебек Мая Тельманкызы [project_leader]</x:v>
      </x:c>
      <x:c r="P31" s="33" t="b">
        <x:v>0</x:v>
      </x:c>
      <x:c r="Q31" s="32" t="str">
        <x:v>needs_project_match</x:v>
      </x:c>
      <x:c r="R31" s="32" t="str">
        <x:v>choose_existing_project</x:v>
      </x:c>
      <x:c r="S31" s="32" t="str"/>
      <x:c r="T31" s="32" t="str"/>
      <x:c r="U31" s="32" t="str"/>
    </x:row>
    <x:row r="32" ht="42" customHeight="1">
      <x:c r="A32" s="32" t="str">
        <x:v>1 кв проекты 2026 rbi.xlsx::проекты 1 кв 2026::15</x:v>
      </x:c>
      <x:c r="B32" s="32" t="str">
        <x:v>1 кв Проекты 2026_RBI.xlsx</x:v>
      </x:c>
      <x:c r="C32" s="32" t="str">
        <x:v>Проекты 1 кв 2026</x:v>
      </x:c>
      <x:c r="D32" s="32" t="n">
        <x:v>15</x:v>
      </x:c>
      <x:c r="E32" s="32" t="str">
        <x:v>Евразийский национальный университет имени Л.Н.Гумилева</x:v>
      </x:c>
      <x:c r="F32" s="32" t="str"/>
      <x:c r="G32" s="32" t="str"/>
      <x:c r="H32" s="32" t="str">
        <x:v>conflict</x:v>
      </x:c>
      <x:c r="I32" s="32" t="str">
        <x:v>Некоммерческое акционерное общество "Евразийский национальный университет имени Л.Н.Гумилева" - Услуги по проведению аудита финансовой отчетности</x:v>
      </x:c>
      <x:c r="J32" s="32" t="n">
        <x:v>170</x:v>
      </x:c>
      <x:c r="K32" s="32" t="str">
        <x:v>conflict</x:v>
      </x:c>
      <x:c r="L32" s="32" t="str">
        <x:v>1. НАО «Евразийский национальный университет имени Л.Н.Гумилева» [135] (d78614ea-98fe-4a5c-88c2-91a20ad68478)
2. Некоммерческое акционерное общество "Евразийский национальный университет имени Л.Н.Гумилева" - Услуги по проведению аудита финансовой отчетности [135] (fa6f39ef-2dda-4056-b088-ee1bffa8fb8d)</x:v>
      </x:c>
      <x:c r="M32" s="32" t="str"/>
      <x:c r="N32" s="32" t="str">
        <x:v>Ажарбаев Самат [assistant_1]
Арнабекова Гулшат [manager_1]
Галымжанов Нурхан Нурланович [manager_3]
Жамбыл Ернур [assistant_1]
Ерлан Худайберген [tax_specialist_1]
Арнабеков Ерлан [partner]
Сейфуллина Гульмира Саятхановна [project_leader]</x:v>
      </x:c>
      <x:c r="O32" s="32" t="str">
        <x:v>Арнабеков Ерлан [partner]
Сейфуллина Гульмира Саятхановна [project_leader]</x:v>
      </x:c>
      <x:c r="P32" s="33" t="b">
        <x:v>1</x:v>
      </x:c>
      <x:c r="Q32" s="32" t="str">
        <x:v>needs_project_match</x:v>
      </x:c>
      <x:c r="R32" s="32" t="str">
        <x:v>choose_existing_project</x:v>
      </x:c>
      <x:c r="S32" s="32" t="str"/>
      <x:c r="T32" s="32" t="str"/>
      <x:c r="U32" s="32" t="str"/>
    </x:row>
    <x:row r="33" ht="42" customHeight="1">
      <x:c r="A33" s="32" t="str">
        <x:v>1 кв проекты 2026 rbi.xlsx::проекты 1 кв 2026::17</x:v>
      </x:c>
      <x:c r="B33" s="32" t="str">
        <x:v>1 кв Проекты 2026_RBI.xlsx</x:v>
      </x:c>
      <x:c r="C33" s="32" t="str">
        <x:v>Проекты 1 кв 2026</x:v>
      </x:c>
      <x:c r="D33" s="32" t="n">
        <x:v>17</x:v>
      </x:c>
      <x:c r="E33" s="32" t="str">
        <x:v>Консолидированная Строительная Горнорудная Компания ТОО</x:v>
      </x:c>
      <x:c r="F33" s="32" t="str"/>
      <x:c r="G33" s="32" t="str"/>
      <x:c r="H33" s="32" t="str">
        <x:v>conflict</x:v>
      </x:c>
      <x:c r="I33" s="32" t="str">
        <x:v>ТОО «Консолидированная Строительная Горнорудная Компания»</x:v>
      </x:c>
      <x:c r="J33" s="32" t="n">
        <x:v>85</x:v>
      </x:c>
      <x:c r="K33" s="32" t="str">
        <x:v>probable</x:v>
      </x:c>
      <x:c r="L33" s="32" t="str">
        <x:v>1. ТОО «Консолидированная Строительная Горнорудная Компания» - услуг по проведению аудита финансовой отчетности ТОО «Консолидированная Строительная Горнорудная Компания» за 2025 год, подготовленной в соответствии с Международными Стандартами Финансовой Отчетности (МСФО)  [85] (cfd3b502-9253-4dba-96ba-b43f5f399aa7)
2. ТОО «Консолидированная Строительная Горнорудная Компания» [50] (26d3b3fb-b7c3-4ca5-8360-a342f4ef5682)
3. АО «Национальная горнорудная компания «Тау-Кен Самрук» (аудит за 2025-2029гг) [7] (bba4e3dd-d508-418f-9c48-23ce65dbc4f9)
4. АО «Национальная горнорудная компания «Тау-Кен Самрук» (аудит за 2025-2029гг) [7] (2eb886af-107b-45b1-be4d-7fad12337505)
5. АО «Национальная горнорудная компания «Тау-Кен Самрук» (аудит за 2025-2029гг) [7] (44ca9c70-7135-43bc-bb8e-17a1f714cd77)</x:v>
      </x:c>
      <x:c r="M33" s="32" t="str">
        <x:v>partner differs: existing 4cb72e5f-7375-4278-bd38-b29a7e4a197c vs Арнабеков Ерлан
project leader differs: existing 967d77e8-774f-4a9a-a5db-37c33e6dc729 vs Сейфуллина Гульмира Саятхановна</x:v>
      </x:c>
      <x:c r="N33" s="32" t="str">
        <x:v>Арнабеков Ерлан [partner]</x:v>
      </x:c>
      <x:c r="O33" s="32" t="str">
        <x:v>Арнабеков Ерлан [partner]
Сейфуллина Гульмира Саятхановна [project_leader]</x:v>
      </x:c>
      <x:c r="P33" s="33" t="b">
        <x:v>0</x:v>
      </x:c>
      <x:c r="Q33" s="32" t="str">
        <x:v>needs_project_match</x:v>
      </x:c>
      <x:c r="R33" s="32" t="str">
        <x:v>choose_existing_project</x:v>
      </x:c>
      <x:c r="S33" s="32" t="str"/>
      <x:c r="T33" s="32" t="str"/>
      <x:c r="U33" s="32" t="str"/>
    </x:row>
    <x:row r="34" ht="42" customHeight="1">
      <x:c r="A34" s="32" t="str">
        <x:v>1 кв проекты 2026 rbi.xlsx::проекты 1 кв 2026::19</x:v>
      </x:c>
      <x:c r="B34" s="32" t="str">
        <x:v>1 кв Проекты 2026_RBI.xlsx</x:v>
      </x:c>
      <x:c r="C34" s="32" t="str">
        <x:v>Проекты 1 кв 2026</x:v>
      </x:c>
      <x:c r="D34" s="32" t="n">
        <x:v>19</x:v>
      </x:c>
      <x:c r="E34" s="32" t="str">
        <x:v>Микрофинансовая организация MOST ТОО</x:v>
      </x:c>
      <x:c r="F34" s="32" t="str"/>
      <x:c r="G34" s="32" t="str"/>
      <x:c r="H34" s="32" t="str">
        <x:v>conflict</x:v>
      </x:c>
      <x:c r="I34" s="32" t="str">
        <x:v>ТОО «Микрофинансовая Организация «MOST»</x:v>
      </x:c>
      <x:c r="J34" s="32" t="n">
        <x:v>85</x:v>
      </x:c>
      <x:c r="K34" s="32" t="str">
        <x:v>probable</x:v>
      </x:c>
      <x:c r="L34" s="32" t="str">
        <x:v>1. ТОО «Микрофинансовая Организация «MOST» - услуг по проведению аудита финансовой отчетности ТОО «Микрофинансовая Организация «MOST», за 2025 год, подготовленной в соответствии с Международными Стандартами Финансовой Отчетности (МСФО) [85] (2a0a4856-2bff-48cc-a56e-f69730d2859d)
2. ТОО «Микрофинансовая Организация «ЮНИКРЕДО» - услуг по проведению аудита финансовой отчетности ТОО «Микрофинансовая Организация «ЮНИКРЕДО за период с 1 января 2025 года по 31 декабря 2025 года, подготовленной в соответствии с Международными Стандартами Финансовой Отчетности  [68] (40772585-e08b-4502-b487-416425be8379)
3. ТОО Микрофинансовая организация InvesCore Finance - 1.1 Аудит финансовой отчетности ТОО «Микрофинансовая организация МФО InvesCore Finance» за 2025 год, подготовленной в соответствии с Международными стандартами финансовой отчетности, (далее – Услуги);
1.2	Проведение онлайн-встречи с материнской компанией (Комитет по аудиту) и возможной встречи с групповым аудитором для обсуждения аудиторского отчёта, не более 8 (восьми) часов
 [68] (56340057-1683-4513-a067-04fa7f8efe18)
4. ТОО «Микрофинансовая Организация «MOST» [50] (4b26dc77-d9c7-489c-b375-2c7b7f5de62e)
5. ТОО «Микрофинансовая организация «Finbox»  [33] (c7ea58fc-03ee-4831-8523-4105f050fd2f)</x:v>
      </x:c>
      <x:c r="M34" s="32" t="str"/>
      <x:c r="N34" s="32" t="str">
        <x:v>Шынгыс Сартаев [partner]</x:v>
      </x:c>
      <x:c r="O34" s="32" t="str">
        <x:v>Шынгыс Сартаев [partner]
Раимбек [project_leader]</x:v>
      </x:c>
      <x:c r="P34" s="33" t="b">
        <x:v>0</x:v>
      </x:c>
      <x:c r="Q34" s="32" t="str">
        <x:v>needs_project_match</x:v>
      </x:c>
      <x:c r="R34" s="32" t="str">
        <x:v>choose_existing_project</x:v>
      </x:c>
      <x:c r="S34" s="32" t="str"/>
      <x:c r="T34" s="32" t="str"/>
      <x:c r="U34" s="32" t="str"/>
    </x:row>
    <x:row r="35" ht="42" customHeight="1">
      <x:c r="A35" s="32" t="str">
        <x:v>1 кв проекты 2026 rbi.xlsx::проекты 1 кв 2026::20</x:v>
      </x:c>
      <x:c r="B35" s="32" t="str">
        <x:v>1 кв Проекты 2026_RBI.xlsx</x:v>
      </x:c>
      <x:c r="C35" s="32" t="str">
        <x:v>Проекты 1 кв 2026</x:v>
      </x:c>
      <x:c r="D35" s="32" t="n">
        <x:v>20</x:v>
      </x:c>
      <x:c r="E35" s="32" t="str">
        <x:v>Самрук-Қазына Инвест ТОО</x:v>
      </x:c>
      <x:c r="F35" s="32" t="str"/>
      <x:c r="G35" s="32" t="str"/>
      <x:c r="H35" s="32" t="str">
        <x:v>conflict</x:v>
      </x:c>
      <x:c r="I35" s="32" t="str">
        <x:v>ТОО "Самрук-Қазына Инвест"</x:v>
      </x:c>
      <x:c r="J35" s="32" t="n">
        <x:v>85</x:v>
      </x:c>
      <x:c r="K35" s="32" t="str">
        <x:v>probable</x:v>
      </x:c>
      <x:c r="L35" s="32" t="str">
        <x:v>1. ТОО «Самрук-Казына Инвест», ОТДЕЛЬНАЯ и КОНСОЛИД ПО ФОРМАМ - ОБЗОР за 6 МЕС 2025 [85] (9051fb68-11e1-482a-9868-e7caf4e20f95)
2. ТОО "Самрук-Қазына Инвест" [50] (3ec01fee-2c18-4af0-b784-d6dd1747550e)
3. ТОО «Самрук-Қазына Инвест»  [50] (461627fc-8164-42be-8a88-d44e0109227b)
4. ТОО «Самрук-Қазына Инвест»  [50] (722869d2-56cd-4c2e-80fc-2d09e7c6c277)
5. ТОО «Самрук-Қазына Инвест»  [50] (a5d450ac-cb5e-497d-8984-4e7a850b0ae2)</x:v>
      </x:c>
      <x:c r="M35" s="32" t="str"/>
      <x:c r="N35" s="32" t="str">
        <x:v>Сауле Бадамбаева [partner]
Ембердиев Ермек [project_leader]
Шардарбекова Саия Гамзатовна [manager_2]</x:v>
      </x:c>
      <x:c r="O35" s="32" t="str">
        <x:v>Сауле Бадамбаева [partner]
Сартаева Гаухар Шыныбековна [project_leader]
Василий Павленко [assistant_1]
Ерлан Худайберген [tax_specialist_1]
Шардарбекова Саия Гамзатовна [manager_2]</x:v>
      </x:c>
      <x:c r="P35" s="33" t="b">
        <x:v>0</x:v>
      </x:c>
      <x:c r="Q35" s="32" t="str">
        <x:v>needs_project_match</x:v>
      </x:c>
      <x:c r="R35" s="32" t="str">
        <x:v>choose_existing_project</x:v>
      </x:c>
      <x:c r="S35" s="32" t="str"/>
      <x:c r="T35" s="32" t="str"/>
      <x:c r="U35" s="32" t="str"/>
    </x:row>
    <x:row r="36" ht="42" customHeight="1">
      <x:c r="A36" s="32" t="str">
        <x:v>1 кв проекты 2026 rbi.xlsx::проекты 1 кв 2026::27</x:v>
      </x:c>
      <x:c r="B36" s="32" t="str">
        <x:v>1 кв Проекты 2026_RBI.xlsx</x:v>
      </x:c>
      <x:c r="C36" s="32" t="str">
        <x:v>Проекты 1 кв 2026</x:v>
      </x:c>
      <x:c r="D36" s="32" t="n">
        <x:v>27</x:v>
      </x:c>
      <x:c r="E36" s="32" t="str">
        <x:v>ТОО Oil Construction Company</x:v>
      </x:c>
      <x:c r="F36" s="32" t="str"/>
      <x:c r="G36" s="32" t="str"/>
      <x:c r="H36" s="32" t="str">
        <x:v>conflict</x:v>
      </x:c>
      <x:c r="I36" s="32" t="str">
        <x:v>ТОО «Oil Construction Company» (за период 2022-2024)</x:v>
      </x:c>
      <x:c r="J36" s="32" t="n">
        <x:v>170</x:v>
      </x:c>
      <x:c r="K36" s="32" t="str">
        <x:v>conflict</x:v>
      </x:c>
      <x:c r="L36" s="32" t="str">
        <x:v>1. ТОО «Oil Construction Company» (за период 2025-2027) [170] (0629f630-5092-4e09-8b63-84ea343c288f)
2. ТОО «Oil Construction Company» (за период 2025-2027) [170] (9c7b15cc-50c0-469a-8d68-63d21ba942bd)
3. ТОО «Oil Construction Company» (за период 2025-2027) [170] (6a0c7388-724d-445c-a66b-35d6dd3927e1)
4. ТОО «Oil Construction Company» (за период 2025-2027) [170] (0ff73995-042e-4a65-902b-cc866c4d638e)
5. ТОО «Oil Construction Company» (за период 2025-2027) [170] (825e3e6f-ce36-4155-a509-4e9316f05ac3)</x:v>
      </x:c>
      <x:c r="M36" s="32" t="str">
        <x:v>partner differs: existing 4cb72e5f-7375-4278-bd38-b29a7e4a197c vs Сауле Бадамбаева</x:v>
      </x:c>
      <x:c r="N36" s="32" t="str">
        <x:v>Сауле Бадамбаева [partner]
Куандыкова Жанар Ерлановна [tax_specialist_2]
Нускабаева Райхан [manager_1]
Турлыгазина Дана Ерікқызы [assistant_1]
Қасымбек Тинай Асқарқызы [assistant_1]</x:v>
      </x:c>
      <x:c r="O36" s="32" t="str">
        <x:v>Сауле Бадамбаева [partner]</x:v>
      </x:c>
      <x:c r="P36" s="33" t="b">
        <x:v>0</x:v>
      </x:c>
      <x:c r="Q36" s="32" t="str">
        <x:v>needs_project_match</x:v>
      </x:c>
      <x:c r="R36" s="32" t="str">
        <x:v>choose_existing_project</x:v>
      </x:c>
      <x:c r="S36" s="32" t="str"/>
      <x:c r="T36" s="32" t="str"/>
      <x:c r="U36" s="32" t="str"/>
    </x:row>
    <x:row r="37" ht="42" customHeight="1">
      <x:c r="A37" s="32" t="str">
        <x:v>1 кв проекты 2026 rbi.xlsx::проекты 1 кв 2026::34</x:v>
      </x:c>
      <x:c r="B37" s="32" t="str">
        <x:v>1 кв Проекты 2026_RBI.xlsx</x:v>
      </x:c>
      <x:c r="C37" s="32" t="str">
        <x:v>Проекты 1 кв 2026</x:v>
      </x:c>
      <x:c r="D37" s="32" t="n">
        <x:v>34</x:v>
      </x:c>
      <x:c r="E37" s="32" t="str">
        <x:v>ТОО МФО ФРИДОМ ФИНАНС Кредит</x:v>
      </x:c>
      <x:c r="F37" s="32" t="str"/>
      <x:c r="G37" s="32" t="str"/>
      <x:c r="H37" s="32" t="str">
        <x:v>conflict</x:v>
      </x:c>
      <x:c r="I37" s="32" t="str">
        <x:v>ТОО «Микрофинансовая организация ФРИДОМ ФИНАНС Кредит»</x:v>
      </x:c>
      <x:c r="J37" s="32" t="n">
        <x:v>73</x:v>
      </x:c>
      <x:c r="K37" s="32" t="str">
        <x:v>not_found</x:v>
      </x:c>
      <x:c r="L37" s="32" t="str">
        <x:v>1. ТОО Микрофинансовая организация InvesCore Finance - 1.1 Аудит финансовой отчетности ТОО «Микрофинансовая организация МФО InvesCore Finance» за 2025 год, подготовленной в соответствии с Международными стандартами финансовой отчетности, (далее – Услуги);
1.2	Проведение онлайн-встречи с материнской компанией (Комитет по аудиту) и возможной встречи с групповым аудитором для обсуждения аудиторского отчёта, не более 8 (восьми) часов
 [60] (56340057-1683-4513-a067-04fa7f8efe18)
2. ТОО Первое кредитное бюро - 1.1.	Заказчик поручает и оплачивает, а Исполнитель принимает на себя обязательство по оказанию Заказчику:
1.1.1.	услуг по проведению аудита финансовой отчетности ТОО «Первое кредитное бюро» за период с 1 января 2025 года по 31 декабря 2025 года, подготовленной в соответствии с Международными Стандартами Финансовой Отчетности (далее – аудит);
1.1.2.	консультационные услуги по вопросам бухгалтерского и налогового учета в соответствии с п. 1.1.2 (в размере 15 часов в течение года)
 [60] (1230cb40-4c39-4c36-8b45-dea10fb83afa)
3. ТОО «Микрофинансовая организация ФРИДОМ ФИНАНС Кредит» [38] (ee88c6d0-e1ea-4846-b6fb-3170a48358ea)
4. ТОО «Микрофинансовая организация ФРИДОМ ФИНАНС Кредит» [38] (032b04c9-9678-40d2-86bf-c455bc016052)
5. ТОО «Микрофинансовая организация ФРИДОМ ФИНАНС Кредит» [38] (7015ffaa-0792-4265-aa01-53efd5423c31)</x:v>
      </x:c>
      <x:c r="M37" s="32" t="str"/>
      <x:c r="N37" s="32" t="str"/>
      <x:c r="O37" s="32" t="str">
        <x:v>Кенжекулов Адилжан Абдикалыкович [partner]
Ембердиев Ермек [project_leader]
Раимбек [project_leader]
Молдабаев Бауыржан Казыбекович [project_leader]</x:v>
      </x:c>
      <x:c r="P37" s="33" t="b">
        <x:v>0</x:v>
      </x:c>
      <x:c r="Q37" s="32" t="str">
        <x:v>needs_project_match</x:v>
      </x:c>
      <x:c r="R37" s="32" t="str">
        <x:v>choose_existing_project</x:v>
      </x:c>
      <x:c r="S37" s="32" t="str"/>
      <x:c r="T37" s="32" t="str"/>
      <x:c r="U37" s="32" t="str"/>
    </x:row>
    <x:row r="38" ht="42" customHeight="1">
      <x:c r="A38" s="32" t="str">
        <x:v>1 кв проекты 2026 rbi.xlsx::проекты 1 кв 2026::39</x:v>
      </x:c>
      <x:c r="B38" s="32" t="str">
        <x:v>1 кв Проекты 2026_RBI.xlsx</x:v>
      </x:c>
      <x:c r="C38" s="32" t="str">
        <x:v>Проекты 1 кв 2026</x:v>
      </x:c>
      <x:c r="D38" s="32" t="n">
        <x:v>39</x:v>
      </x:c>
      <x:c r="E38" s="32" t="str">
        <x:v>ТОО Специальная финансовая компания СМК ФФ-1</x:v>
      </x:c>
      <x:c r="F38" s="32" t="str"/>
      <x:c r="G38" s="32" t="str"/>
      <x:c r="H38" s="32" t="str">
        <x:v>conflict</x:v>
      </x:c>
      <x:c r="I38" s="32" t="str">
        <x:v>ТОО «Специальная финансовая компания «СМК ФФ-1» - Freedom</x:v>
      </x:c>
      <x:c r="J38" s="32" t="n">
        <x:v>170</x:v>
      </x:c>
      <x:c r="K38" s="32" t="str">
        <x:v>exact</x:v>
      </x:c>
      <x:c r="L38" s="32" t="str">
        <x:v>1. ТОО «Специальная финансовая компания «СМК ФФ-1»  - аудит финансовой отчетности за отчетный год, исчисляемый с 01 января по 31 декабря 2025, подготовленной в соответствии с Международными Стандартами Финансовой Отчетности (МСФО)  [170] (72104e24-2b47-43e8-ac55-4cf6ffb7a9a5)
2. ТОО «Специальная финансовая компания «СМК ФФ-1» - Freedom [135] (944fe674-242a-4933-a69e-685696e04c18)
3. ТОО «Специальная финансовая компания «СМК ФФ-2» - Аудит финансовой отчетности за период с 01 января 2025 года по 31 декабря 2025 года, подготовленной в соответствии с Международными Стандартами Финансовой Отчетности финансовой отчетности [85] (3d9410d1-34bc-4de3-bac5-122ee6b0730c)
4. ТОО «Специальная финансовая компания «PARTNER GROUP»  - услуг по проведению аудита финансовой отчетности ТОО «Специальная финансовая компания PARTNER GROUP, за 2025 год [60] (d52f9b7f-56ed-47c6-b38c-e4f031d01fb4)
5. ТОО «Специальная финансовая компания «СМК ФФ-2» - Freedom [50] (90c9daa2-70ed-43ae-b059-cc5f30d5318a)</x:v>
      </x:c>
      <x:c r="M38" s="32" t="str"/>
      <x:c r="N38" s="32" t="str">
        <x:v>Шынгыс Сартаев [partner]</x:v>
      </x:c>
      <x:c r="O38" s="32" t="str">
        <x:v>Шынгыс Сартаев [partner]
Молдабаев Бауыржан Казыбекович [project_leader]</x:v>
      </x:c>
      <x:c r="P38" s="33" t="b">
        <x:v>1</x:v>
      </x:c>
      <x:c r="Q38" s="32" t="str">
        <x:v>needs_project_match</x:v>
      </x:c>
      <x:c r="R38" s="32" t="str">
        <x:v>choose_existing_project</x:v>
      </x:c>
      <x:c r="S38" s="32" t="str"/>
      <x:c r="T38" s="32" t="str"/>
      <x:c r="U38" s="32" t="str"/>
    </x:row>
    <x:row r="39" ht="42" customHeight="1">
      <x:c r="A39" s="32" t="str">
        <x:v>1 кв проекты 2026 rbi.xlsx::проекты 1 кв 2026::40</x:v>
      </x:c>
      <x:c r="B39" s="32" t="str">
        <x:v>1 кв Проекты 2026_RBI.xlsx</x:v>
      </x:c>
      <x:c r="C39" s="32" t="str">
        <x:v>Проекты 1 кв 2026</x:v>
      </x:c>
      <x:c r="D39" s="32" t="n">
        <x:v>40</x:v>
      </x:c>
      <x:c r="E39" s="32" t="str">
        <x:v>ТОО Специальная финансовая компания СМК ФФ-2</x:v>
      </x:c>
      <x:c r="F39" s="32" t="str"/>
      <x:c r="G39" s="32" t="str"/>
      <x:c r="H39" s="32" t="str">
        <x:v>conflict</x:v>
      </x:c>
      <x:c r="I39" s="32" t="str">
        <x:v>ТОО «Специальная финансовая компания «СМК ФФ-2» - Freedom</x:v>
      </x:c>
      <x:c r="J39" s="32" t="n">
        <x:v>170</x:v>
      </x:c>
      <x:c r="K39" s="32" t="str">
        <x:v>exact</x:v>
      </x:c>
      <x:c r="L39" s="32" t="str">
        <x:v>1. ТОО «Специальная финансовая компания «СМК ФФ-2» - Аудит финансовой отчетности за период с 01 января 2025 года по 31 декабря 2025 года, подготовленной в соответствии с Международными Стандартами Финансовой Отчетности финансовой отчетности [170] (3d9410d1-34bc-4de3-bac5-122ee6b0730c)
2. ТОО «Специальная финансовая компания «СМК ФФ-2» - Freedom [135] (90c9daa2-70ed-43ae-b059-cc5f30d5318a)
3. ТОО «Специальная финансовая компания «СМК ФФ-1»  - аудит финансовой отчетности за отчетный год, исчисляемый с 01 января по 31 декабря 2025, подготовленной в соответствии с Международными Стандартами Финансовой Отчетности (МСФО)  [85] (72104e24-2b47-43e8-ac55-4cf6ffb7a9a5)
4. ТОО «Специальная финансовая компания «PARTNER GROUP»  - услуг по проведению аудита финансовой отчетности ТОО «Специальная финансовая компания PARTNER GROUP, за 2025 год [60] (d52f9b7f-56ed-47c6-b38c-e4f031d01fb4)
5. ТОО «Специальная финансовая компания «СМК ФФ-1» - Freedom [50] (944fe674-242a-4933-a69e-685696e04c18)</x:v>
      </x:c>
      <x:c r="M39" s="32" t="str">
        <x:v>partner differs: existing 4cb72e5f-7375-4278-bd38-b29a7e4a197c vs Шынгыс Сартаев</x:v>
      </x:c>
      <x:c r="N39" s="32" t="str"/>
      <x:c r="O39" s="32" t="str">
        <x:v>Шынгыс Сартаев [partner]
Молдабаев Бауыржан Казыбекович [project_leader]</x:v>
      </x:c>
      <x:c r="P39" s="33" t="b">
        <x:v>0</x:v>
      </x:c>
      <x:c r="Q39" s="32" t="str">
        <x:v>needs_project_match</x:v>
      </x:c>
      <x:c r="R39" s="32" t="str">
        <x:v>choose_existing_project</x:v>
      </x:c>
      <x:c r="S39" s="32" t="str"/>
      <x:c r="T39" s="32" t="str"/>
      <x:c r="U39" s="32" t="str"/>
    </x:row>
    <x:row r="40" ht="42" customHeight="1">
      <x:c r="A40" s="32" t="str">
        <x:v>1 кв проекты 2026 rbi.xlsx::проекты 1 кв 2026::42</x:v>
      </x:c>
      <x:c r="B40" s="32" t="str">
        <x:v>1 кв Проекты 2026_RBI.xlsx</x:v>
      </x:c>
      <x:c r="C40" s="32" t="str">
        <x:v>Проекты 1 кв 2026</x:v>
      </x:c>
      <x:c r="D40" s="32" t="n">
        <x:v>42</x:v>
      </x:c>
      <x:c r="E40" s="32" t="str">
        <x:v>ТОО Тау-Кен Алтын</x:v>
      </x:c>
      <x:c r="F40" s="32" t="str"/>
      <x:c r="G40" s="32" t="str"/>
      <x:c r="H40" s="32" t="str">
        <x:v>conflict</x:v>
      </x:c>
      <x:c r="I40" s="32" t="str">
        <x:v>ТОО «Тау-Кен Алтын»  - Аудита финансовой отчетности ТОО «Тау-Кен Алтын» по состоянию за год, заканчивающийся 31 декабря 2026 года</x:v>
      </x:c>
      <x:c r="J40" s="32" t="n">
        <x:v>170</x:v>
      </x:c>
      <x:c r="K40" s="32" t="str">
        <x:v>conflict</x:v>
      </x:c>
      <x:c r="L40" s="32" t="str">
        <x:v>1. ТОО «Тау-Кен Алтын»  - Аудита финансовой отчетности ТОО «Тау-Кен Алтын» по состоянию за год, заканчивающийся 31 декабря 2026 года [170] (316c3297-1d1f-4325-9a1d-9b63fa8d999a)
2. ТОО «Тау-Кен Алтын» - Аудита финансовой отчетности ТОО «Тау-Кен Алтын» по состоянию за год, заканчивающийся 31 декабря 2025 года [170] (ab5c616a-c033-4127-9e1a-6266bc1c7cde)
3. ТОО «Тау-Кен Алтын»  - Аудита финансовой отчетности ТОО «Тау-Кен Алтын» по состоянию за год, заканчивающийся 31 декабря 2029 года [90] (924883ba-a673-448a-a489-d3123352eeb0)
4. ТОО «Тау-Кен Алтын» - Аудита финансовой отчетности ТОО «Тау-Кен Алтын» по состоянию за год, заканчивающийся 31 декабря 2027 года [90] (0c8c32c0-7fdf-42b8-9315-c97b1f014874)
5. ТОО «Тау-Кен Алтын» - Аудита финансовой отчетности ТОО «Тау-Кен Алтын» по состоянию за год, заканчивающийся 31 декабря 2028 года [90] (9134fcbf-a75e-44ad-8f6a-24604f7801b4)</x:v>
      </x:c>
      <x:c r="M40" s="32" t="str"/>
      <x:c r="N40" s="32" t="str">
        <x:v>Кенжекулов Адилжан Абдикалыкович [partner]</x:v>
      </x:c>
      <x:c r="O40" s="32" t="str">
        <x:v>Кенжекулов Адилжан Абдикалыкович [partner]</x:v>
      </x:c>
      <x:c r="P40" s="33" t="b">
        <x:v>0</x:v>
      </x:c>
      <x:c r="Q40" s="32" t="str">
        <x:v>needs_project_match</x:v>
      </x:c>
      <x:c r="R40" s="32" t="str">
        <x:v>choose_existing_project</x:v>
      </x:c>
      <x:c r="S40" s="32" t="str"/>
      <x:c r="T40" s="32" t="str"/>
      <x:c r="U40" s="32" t="str"/>
    </x:row>
    <x:row r="41" ht="42" customHeight="1">
      <x:c r="A41" s="32" t="str">
        <x:v>1 кв проекты 2026 rbi.xlsx::проекты 1 кв 2026::46</x:v>
      </x:c>
      <x:c r="B41" s="32" t="str">
        <x:v>1 кв Проекты 2026_RBI.xlsx</x:v>
      </x:c>
      <x:c r="C41" s="32" t="str">
        <x:v>Проекты 1 кв 2026</x:v>
      </x:c>
      <x:c r="D41" s="32" t="n">
        <x:v>46</x:v>
      </x:c>
      <x:c r="E41" s="32" t="str">
        <x:v>Kone Kazakhstan</x:v>
      </x:c>
      <x:c r="F41" s="32" t="str"/>
      <x:c r="G41" s="32" t="str"/>
      <x:c r="H41" s="32" t="str">
        <x:v>conflict</x:v>
      </x:c>
      <x:c r="I41" s="32" t="str">
        <x:v>ТОО KONE Kazakhstan LLP</x:v>
      </x:c>
      <x:c r="J41" s="32" t="n">
        <x:v>170</x:v>
      </x:c>
      <x:c r="K41" s="32" t="str">
        <x:v>exact</x:v>
      </x:c>
      <x:c r="L41" s="32" t="str">
        <x:v>1. ТОО ««KONE KAZAKHSTAN» (КОНЕ КАЗАХСТАН) - 1.1.	Заказчик поручает и оплачивает, а Исполнитель принимает на себя обязательство по оказанию Заказчику:
1.1.1. услуг по проведению аудита финансовой отчетности за период с 01 января по 31 декабря 2025 года;
1.1.2. услуг по проведению аудита налоговой отчетности за период с 01 января по 31 декабря 2025 года 
 [170] (cd306c54-a258-4d84-9268-6f9f53b490dd)
2. ТОО KONE KAZAKHSTAN (КОНЕ КАЗАХСТАН) - услуги по проведению инвентаризации запасов и основных средств офиса Заказчика в г. Алматы;
 [135] (0cd36fb4-e3e5-44fe-8d44-0e3b15a89336)
3. ТОО KONE Kazakhstan LLP [135] (57a7b9f2-a45f-40e1-98d8-7340092813c5)
4. ТОО KONE Kazakhstan LLP [135] (ebcf4d29-4b7d-4fc7-afc7-e13c978b70da)
5. ТОО Kumho Tire Kazakhstan (Кумхо Тайер Казахстан) - услуги по проведению аудита финансовой отчетности за 2025 год [60] (9715a892-388b-4f64-806e-816291f06818)</x:v>
      </x:c>
      <x:c r="M41" s="32" t="str"/>
      <x:c r="N41" s="32" t="str"/>
      <x:c r="O41" s="32" t="str">
        <x:v>Арнабеков Ерлан [partner]</x:v>
      </x:c>
      <x:c r="P41" s="33" t="b">
        <x:v>0</x:v>
      </x:c>
      <x:c r="Q41" s="32" t="str">
        <x:v>needs_project_match</x:v>
      </x:c>
      <x:c r="R41" s="32" t="str">
        <x:v>choose_existing_project</x:v>
      </x:c>
      <x:c r="S41" s="32" t="str"/>
      <x:c r="T41" s="32" t="str"/>
      <x:c r="U41" s="32" t="str"/>
    </x:row>
    <x:row r="42" ht="42" customHeight="1">
      <x:c r="A42" s="32" t="str">
        <x:v>1 кв проекты 2026 rbi.xlsx::спец аудит 2026 1 кв::3</x:v>
      </x:c>
      <x:c r="B42" s="32" t="str">
        <x:v>1 кв Проекты 2026_RBI.xlsx</x:v>
      </x:c>
      <x:c r="C42" s="32" t="str">
        <x:v>спец аудит 2026 1 кв</x:v>
      </x:c>
      <x:c r="D42" s="32" t="n">
        <x:v>3</x:v>
      </x:c>
      <x:c r="E42" s="32" t="str">
        <x:v>Агромашхолдинг</x:v>
      </x:c>
      <x:c r="F42" s="32" t="str"/>
      <x:c r="G42" s="32" t="str">
        <x:v>Агромашхолдинг</x:v>
      </x:c>
      <x:c r="H42" s="32" t="str">
        <x:v>conflict</x:v>
      </x:c>
      <x:c r="I42" s="32" t="str">
        <x:v>АО Агромашхолдинг KZ</x:v>
      </x:c>
      <x:c r="J42" s="32" t="n">
        <x:v>135</x:v>
      </x:c>
      <x:c r="K42" s="32" t="str">
        <x:v>conflict</x:v>
      </x:c>
      <x:c r="L42" s="32" t="str">
        <x:v>1. АО Агромашхолдинг KZ [135] (0c45862b-5669-411d-94db-9f051adddba0)
2. АО Агромашхолдинг KZ - услуг по проведению аудита специального назначения за 2025 год [135] (33f8eb89-bf94-40da-b417-61ea6f0b27e3)
3. АО Агромашхолдинг KZ - услуг по проведению аудита финансовой отчетности АО «Агромашхолдинг KZ» за период с 1 января 2025 года по 31 декабря 2025 года, подготовленной в соответствии с Международными Стандартами Финансовой Отчетности  [135] (4f9d5109-ac01-4dc2-9396-287ce70a4237)</x:v>
      </x:c>
      <x:c r="M42" s="32" t="str"/>
      <x:c r="N42" s="32" t="str">
        <x:v>Галымжанов Нурхан Нурланович [manager_3]
Zabira Yerlankyzy [supervisor_1]
Жамбыл Ернур [assistant_1]
Куандыкова Жанар Ерлановна [tax_specialist_2]
Кенжекулов Адилжан Абдикалыкович [partner]
Галымжанов Нурхан Нурланович [project_leader]</x:v>
      </x:c>
      <x:c r="O42" s="32" t="str"/>
      <x:c r="P42" s="33" t="b">
        <x:v>1</x:v>
      </x:c>
      <x:c r="Q42" s="32" t="str">
        <x:v>needs_project_match</x:v>
      </x:c>
      <x:c r="R42" s="32" t="str">
        <x:v>choose_existing_project</x:v>
      </x:c>
      <x:c r="S42" s="32" t="str"/>
      <x:c r="T42" s="32" t="str"/>
      <x:c r="U42" s="32" t="str"/>
    </x:row>
    <x:row r="43" ht="42" customHeight="1">
      <x:c r="A43" s="32" t="str">
        <x:v>2 кв проекты 2024 rbi.xlsx::проекты 2 кв 2024::7</x:v>
      </x:c>
      <x:c r="B43" s="32" t="str">
        <x:v>2 кв Проекты 2024_RBI.xlsx</x:v>
      </x:c>
      <x:c r="C43" s="32" t="str">
        <x:v>Проекты 2 кв 2024 </x:v>
      </x:c>
      <x:c r="D43" s="32" t="n">
        <x:v>7</x:v>
      </x:c>
      <x:c r="E43" s="32" t="str">
        <x:v>АО Акционерный инвестиционный фонд рискового инвестированияАО TG Al-Farabi</x:v>
      </x:c>
      <x:c r="F43" s="32" t="str">
        <x:v>Аудит ФО</x:v>
      </x:c>
      <x:c r="G43" s="32" t="str">
        <x:v>IAC Russell Bedford A+ Partners LLP</x:v>
      </x:c>
      <x:c r="H43" s="32" t="str">
        <x:v>conflict</x:v>
      </x:c>
      <x:c r="I43" s="32" t="str">
        <x:v>АО «Акционерный инвестиционный фонд недвижимости «TG AL-Farabi» от Тримовой Сауле</x:v>
      </x:c>
      <x:c r="J43" s="32" t="n">
        <x:v>85</x:v>
      </x:c>
      <x:c r="K43" s="32" t="str">
        <x:v>not_found</x:v>
      </x:c>
      <x:c r="L43" s="32" t="str">
        <x:v>1. АО «Акционерный инвестиционный фонд недвижимости «TG AL-Farabi» от Тримовой Сауле [50] (44929955-29b6-4407-b935-e71be44d7d0e)
2. АО «Акционерный инвестиционный фонд рискового инвестирования «TG MED» от Тримовой Сауле [43] (0a22ced6-daec-40ec-82ef-b9ad21d0eba6)
3.  Частная компания открытого инвестиционного типа TG Global PRE-IPO Fund I OEIC Limited. - Услуги по проведению аудита отдельной и консолидированной финансовой отчётности [37] (360689d4-6dac-4e34-aecc-e7afd8570423)
4. Частная компания открытого инвестиционного типа TG Global Pre-IPO Fund II OEIC Limited  - Услуги по проведению аудита отдельной и консолидированной финансовой отчётности [37] (56442a92-ca05-4120-8cc3-487dd5f20c2e)
5. ЧАСТНАЯ КОМПАНИЯ ОТКРЫТОГО ИНВЕСТИЦИОННОГО ТИПА TG GLOBAL PRE-IPO FUND III OEIC LIMITED - Услуги по проведению аудита отдельной и консолидированной финансовой отчётности [37] (f596cb67-c52f-4b41-9011-517d6924149d)</x:v>
      </x:c>
      <x:c r="M43" s="32" t="str"/>
      <x:c r="N43" s="32" t="str"/>
      <x:c r="O43" s="32" t="str">
        <x:v>Кенжекулов Адилжан Абдикалыкович [partner]
Сауле Тримова [assistant_1]</x:v>
      </x:c>
      <x:c r="P43" s="33" t="b">
        <x:v>0</x:v>
      </x:c>
      <x:c r="Q43" s="32" t="str">
        <x:v>needs_project_match</x:v>
      </x:c>
      <x:c r="R43" s="32" t="str">
        <x:v>choose_existing_project</x:v>
      </x:c>
      <x:c r="S43" s="32" t="str"/>
      <x:c r="T43" s="32" t="str"/>
      <x:c r="U43" s="32" t="str"/>
    </x:row>
    <x:row r="44" ht="42" customHeight="1">
      <x:c r="A44" s="32" t="str">
        <x:v>2 кв проекты 2024 rbi.xlsx::проекты 2 кв 2024::10</x:v>
      </x:c>
      <x:c r="B44" s="32" t="str">
        <x:v>2 кв Проекты 2024_RBI.xlsx</x:v>
      </x:c>
      <x:c r="C44" s="32" t="str">
        <x:v>Проекты 2 кв 2024 </x:v>
      </x:c>
      <x:c r="D44" s="32" t="n">
        <x:v>10</x:v>
      </x:c>
      <x:c r="E44" s="32" t="str">
        <x:v>ТОО MOI страховой брокер</x:v>
      </x:c>
      <x:c r="F44" s="32" t="str">
        <x:v>Аудит ФО</x:v>
      </x:c>
      <x:c r="G44" s="32" t="str">
        <x:v>IAC Russell Bedford A+ Partners LLP</x:v>
      </x:c>
      <x:c r="H44" s="32" t="str">
        <x:v>conflict</x:v>
      </x:c>
      <x:c r="I44" s="32" t="str">
        <x:v>ТОО "MOI (МОЙ) страховой брокер" - услуг по проведению аудита отдельной и консолидированной финансовой отчетности ТОО "MOI  (МОЙ )страховой брокер" за период с 1 января 2025 года по 31 декабря 2025 года, подготовленной в соответствии с Международными Стандартами Финансовой Отчетности. </x:v>
      </x:c>
      <x:c r="J44" s="32" t="n">
        <x:v>74</x:v>
      </x:c>
      <x:c r="K44" s="32" t="str">
        <x:v>conflict</x:v>
      </x:c>
      <x:c r="L44" s="32" t="str">
        <x:v>1. ТОО "MOI (МОЙ) страховой брокер" - услуг по проведению аудита отдельной и консолидированной финансовой отчетности ТОО "MOI  (МОЙ )страховой брокер" за период с 1 января 2025 года по 31 декабря 2025 года, подготовленной в соответствии с Международными Стандартами Финансовой Отчетности.  [74] (578bfc96-b4ca-4261-aac3-2e56ac66b884)
2. ТОО MOI (МОЙ) страховой брокер от Тримовой Сауле [50] (70306fd4-3a56-423a-ab86-5ba7b88737c0)
3. ТОО «Коммерческий банк «Страховой брокер Уиллис Тауэрс Уатсон (Казахстан)» [33] (9188bb02-121c-4e9a-8feb-7eb5da4fa931)
4. ТОО «Коммерческий банк «Страховой брокер Уиллис Тауэрс Уатсон (Казахстан)» [33] (78a385af-a75c-433f-8ae5-42badeec1122)</x:v>
      </x:c>
      <x:c r="M44" s="32" t="str"/>
      <x:c r="N44" s="32" t="str">
        <x:v>Кенжекулов Адилжан Абдикалыкович [partner]
Сауле Тримова [assistant_1]</x:v>
      </x:c>
      <x:c r="O44" s="32" t="str">
        <x:v>Сауле Тримова [assistant_1]</x:v>
      </x:c>
      <x:c r="P44" s="33" t="b">
        <x:v>1</x:v>
      </x:c>
      <x:c r="Q44" s="32" t="str">
        <x:v>needs_project_match</x:v>
      </x:c>
      <x:c r="R44" s="32" t="str">
        <x:v>choose_existing_project</x:v>
      </x:c>
      <x:c r="S44" s="32" t="str"/>
      <x:c r="T44" s="32" t="str"/>
      <x:c r="U44" s="32" t="str"/>
    </x:row>
    <x:row r="45" ht="42" customHeight="1">
      <x:c r="A45" s="32" t="str">
        <x:v>2 кв проекты 2024 rbi.xlsx::проекты 2 кв 2024::29</x:v>
      </x:c>
      <x:c r="B45" s="32" t="str">
        <x:v>2 кв Проекты 2024_RBI.xlsx</x:v>
      </x:c>
      <x:c r="C45" s="32" t="str">
        <x:v>Проекты 2 кв 2024 </x:v>
      </x:c>
      <x:c r="D45" s="32" t="n">
        <x:v>29</x:v>
      </x:c>
      <x:c r="E45" s="32" t="str">
        <x:v>Акционерное Общество «Республиканская телерадиокорпорация «Казахстан»</x:v>
      </x:c>
      <x:c r="F45" s="32" t="str">
        <x:v>Аудит ФО</x:v>
      </x:c>
      <x:c r="G45" s="32" t="str">
        <x:v>IAC Russell Bedford A+ Partners LLP</x:v>
      </x:c>
      <x:c r="H45" s="32" t="str">
        <x:v>conflict</x:v>
      </x:c>
      <x:c r="I45" s="32" t="str">
        <x:v>АО "Республиканская телерадиокорпорация "Казахстан" (за 2024-2026гг)</x:v>
      </x:c>
      <x:c r="J45" s="32" t="n">
        <x:v>85</x:v>
      </x:c>
      <x:c r="K45" s="32" t="str">
        <x:v>conflict</x:v>
      </x:c>
      <x:c r="L45" s="32" t="str">
        <x:v>1. Акционерное общество "Национальная платежная корпорация Национального Банка Республики Казахстан" - АУДИТ за 2024 [77] (49694440-aee8-4cf4-af94-a8d4ef55a462)
2. АО "Республиканская телерадиокорпорация "Казахстан" (за 2024-2026гг) [65] (34cb9178-42ab-4479-96b1-59f9c1eff0a2)
3. АО "Республиканская телерадиокорпорация "Казахстан" (за 2024-2026гг) [65] (79fa8e30-5ba2-49ee-8916-cc490f855d28)
4. АО "Республиканская телерадиокорпорация "Казахстан" (за 2024-2026гг) [65] (dc446cf9-582d-422f-b872-1c69b4fc103c)
5. АО "Республиканская телерадиокорпорация "Казахстан" (за 2024-2026гг) [65] (62f8f591-75ad-4fdc-9a2b-5fe30ca91acc)</x:v>
      </x:c>
      <x:c r="M45" s="32" t="str"/>
      <x:c r="N45" s="32" t="str">
        <x:v>Сауле Бадамбаева [partner]
Нускабаева Райхан [project_leader]
Гульжан Чалова [manager_1]
Қасымбек Тинай Асқарқызы [assistant_1]
Кенжебек Мая Тельманкызы [manager_1]
Идрисов Спандияр [tax_specialist_1]</x:v>
      </x:c>
      <x:c r="O45" s="32" t="str">
        <x:v>Сауле Бадамбаева [partner]</x:v>
      </x:c>
      <x:c r="P45" s="33" t="b">
        <x:v>1</x:v>
      </x:c>
      <x:c r="Q45" s="32" t="str">
        <x:v>needs_project_match</x:v>
      </x:c>
      <x:c r="R45" s="32" t="str">
        <x:v>choose_existing_project</x:v>
      </x:c>
      <x:c r="S45" s="32" t="str"/>
      <x:c r="T45" s="32" t="str"/>
      <x:c r="U45" s="32" t="str"/>
    </x:row>
    <x:row r="46" ht="42" customHeight="1">
      <x:c r="A46" s="32" t="str">
        <x:v>2 кв проекты 2024 rbi.xlsx::проекты 2 кв 2024::43</x:v>
      </x:c>
      <x:c r="B46" s="32" t="str">
        <x:v>2 кв Проекты 2024_RBI.xlsx</x:v>
      </x:c>
      <x:c r="C46" s="32" t="str">
        <x:v>Проекты 2 кв 2024 </x:v>
      </x:c>
      <x:c r="D46" s="32" t="n">
        <x:v>43</x:v>
      </x:c>
      <x:c r="E46" s="32" t="str">
        <x:v>Акционерное общество «Национальная Компания «ҚазАвтоЖол»</x:v>
      </x:c>
      <x:c r="F46" s="32" t="str">
        <x:v>Аудит ФО</x:v>
      </x:c>
      <x:c r="G46" s="32" t="str">
        <x:v>IAC Russell Bedford A+ Partners LLP</x:v>
      </x:c>
      <x:c r="H46" s="32" t="str">
        <x:v>conflict</x:v>
      </x:c>
      <x:c r="I46" s="32" t="str">
        <x:v>Акционерное общество "Национальная платежная корпорация Национального Банка Республики Казахстан" - АУДИТ за 2024</x:v>
      </x:c>
      <x:c r="J46" s="32" t="n">
        <x:v>72</x:v>
      </x:c>
      <x:c r="K46" s="32" t="str">
        <x:v>probable</x:v>
      </x:c>
      <x:c r="L46" s="32" t="str">
        <x:v>1. Акционерное общество "Национальная платежная корпорация Национального Банка Республики Казахстан" - АУДИТ за 2024 [85] (49694440-aee8-4cf4-af94-a8d4ef55a462)
2. Акционерное общество «Транснациональная компания «Казхром» - Проведение аудита расходов на разведку и добычу твердых полезных ископаемых, указанных в отчете об исполнении лицензионных обязательств [50] (920af92e-3236-4e89-93ff-8c7450ce1993)
3. Акционерное общество "Аэропорт Шымкент" - Услуги по проведению аудита финансовой отчетности [49] (c4918675-722f-4082-92f2-f0bbc58d23e0)
4. Акционерное общество "Социально-предпринимательская корпорация "Қонаев" - Услуги по
проведению
аудита
финансовой
отчетности [49] (1041b77c-6266-408d-b7bd-3c9fa71d062e)
5. Акционерное общество "Социально-предпринимательская корпорация "Сарыарка" - Услуги по проведению аудита финансовой отчетности [49] (d4e2f0e3-63d3-4ff4-948e-fa6883a6d2ef)</x:v>
      </x:c>
      <x:c r="M46" s="32" t="str">
        <x:v>partner differs: existing ba3d0a39-e789-4eed-8890-64dca41dbdd9 vs Шынгыс Сартаев</x:v>
      </x:c>
      <x:c r="N46" s="32" t="str">
        <x:v>Сауле Бадамбаева [partner]
Нускабаева Райхан [project_leader]
Гульжан Чалова [manager_1]
Қасымбек Тинай Асқарқызы [assistant_1]
Кенжебек Мая Тельманкызы [manager_1]
Идрисов Спандияр [tax_specialist_1]</x:v>
      </x:c>
      <x:c r="O46" s="32" t="str">
        <x:v>Шынгыс Сартаев [partner]</x:v>
      </x:c>
      <x:c r="P46" s="33" t="b">
        <x:v>1</x:v>
      </x:c>
      <x:c r="Q46" s="32" t="str">
        <x:v>needs_project_match</x:v>
      </x:c>
      <x:c r="R46" s="32" t="str">
        <x:v>choose_existing_project</x:v>
      </x:c>
      <x:c r="S46" s="32" t="str"/>
      <x:c r="T46" s="32" t="str"/>
      <x:c r="U46" s="32" t="str"/>
    </x:row>
    <x:row r="47" ht="42" customHeight="1">
      <x:c r="A47" s="32" t="str">
        <x:v>2 кв проекты 2024 rbi.xlsx::проекты 2 кв 2024::50</x:v>
      </x:c>
      <x:c r="B47" s="32" t="str">
        <x:v>2 кв Проекты 2024_RBI.xlsx</x:v>
      </x:c>
      <x:c r="C47" s="32" t="str">
        <x:v>Проекты 2 кв 2024 </x:v>
      </x:c>
      <x:c r="D47" s="32" t="n">
        <x:v>50</x:v>
      </x:c>
      <x:c r="E47" s="32" t="str">
        <x:v>АКЦИОНЕРНОЕ ОБЩЕСТВО «СОЦИАЛЬНАЯ-ПРЕДПРИНИМАТЕЛЬСКАЯ КОРПОРАЦИЯ «ASTANA»</x:v>
      </x:c>
      <x:c r="F47" s="32" t="str">
        <x:v>Аудит ФО</x:v>
      </x:c>
      <x:c r="G47" s="32" t="str">
        <x:v>IAC Russell Bedford A+ Partners LLP</x:v>
      </x:c>
      <x:c r="H47" s="32" t="str">
        <x:v>conflict</x:v>
      </x:c>
      <x:c r="I47" s="32" t="str">
        <x:v>	АО "Социально-предпринимательская корпорация "Актобе" (за 2024-2026гг) - Закуп услуги по проведению аудита финансовой отчетности за 2024–2025-2026 годы Акционерного общества «Социально-предпринимательская
корпорация «Актобе»
Аудит за 2026 год</x:v>
      </x:c>
      <x:c r="J47" s="32" t="n">
        <x:v>84</x:v>
      </x:c>
      <x:c r="K47" s="32" t="str">
        <x:v>conflict</x:v>
      </x:c>
      <x:c r="L47" s="32" t="str">
        <x:v>1. 	АО "Социально-предпринимательская корпорация "Актобе" (за 2024-2026гг) - Закуп услуги по проведению аудита финансовой отчетности за 2024–2025-2026 годы Акционерного общества «Социально-предпринимательская
корпорация «Актобе»
Аудит за 2026 год [76] (e5039b53-76ad-4967-b953-7fbf6fda0939)
2. АО "Социально-предпринимательская корпорация "Актобе" (за 2024-2026гг) - Аудит финансовой отчетности за 2026 год
(Аудит финансовой отчетности за 2024–2025-2026 годы Акционерного общества «Социально-предпринимательская корпорация «Актобе») [76] (76ff2e58-fe2f-4fe2-a387-4a528d39ae94)
3. Акционерное общество "Национальная платежная корпорация Национального Банка Республики Казахстан" - АУДИТ за 2024 [72] (49694440-aee8-4cf4-af94-a8d4ef55a462)
4. Акционерное общество "Социально-предпринимательская корпорация "Қонаев" - Услуги по
проведению
аудита
финансовой
отчетности [57] (1041b77c-6266-408d-b7bd-3c9fa71d062e)
5. Акционерное общество "Социально-предпринимательская корпорация "Сарыарка" - Услуги по проведению аудита финансовой отчетности [57] (d4e2f0e3-63d3-4ff4-948e-fa6883a6d2ef)</x:v>
      </x:c>
      <x:c r="M47" s="32" t="str"/>
      <x:c r="N47" s="32" t="str"/>
      <x:c r="O47" s="32" t="str">
        <x:v>Арнабеков Ерлан [partner]</x:v>
      </x:c>
      <x:c r="P47" s="33" t="b">
        <x:v>0</x:v>
      </x:c>
      <x:c r="Q47" s="32" t="str">
        <x:v>needs_project_match</x:v>
      </x:c>
      <x:c r="R47" s="32" t="str">
        <x:v>choose_existing_project</x:v>
      </x:c>
      <x:c r="S47" s="32" t="str"/>
      <x:c r="T47" s="32" t="str"/>
      <x:c r="U47" s="32" t="str"/>
    </x:row>
    <x:row r="48" ht="42" customHeight="1">
      <x:c r="A48" s="32" t="str">
        <x:v>2 кв проекты 2024 rbi.xlsx::проекты 2 кв 2024::58</x:v>
      </x:c>
      <x:c r="B48" s="32" t="str">
        <x:v>2 кв Проекты 2024_RBI.xlsx</x:v>
      </x:c>
      <x:c r="C48" s="32" t="str">
        <x:v>Проекты 2 кв 2024 </x:v>
      </x:c>
      <x:c r="D48" s="32" t="n">
        <x:v>58</x:v>
      </x:c>
      <x:c r="E48" s="32" t="str">
        <x:v>ТОО Микрофинансовая организация Almaty</x:v>
      </x:c>
      <x:c r="F48" s="32" t="str"/>
      <x:c r="G48" s="32" t="str"/>
      <x:c r="H48" s="32" t="str">
        <x:v>conflict</x:v>
      </x:c>
      <x:c r="I48" s="32" t="str">
        <x:v>ТОО «Микрофинансовая организация ФРИДОМ ФИНАНС Кредит»</x:v>
      </x:c>
      <x:c r="J48" s="32" t="n">
        <x:v>68</x:v>
      </x:c>
      <x:c r="K48" s="32" t="str">
        <x:v>not_found</x:v>
      </x:c>
      <x:c r="L48" s="32" t="str">
        <x:v>1. ТОО «Микрофинансовая организация «Finbox»  [33] (c7ea58fc-03ee-4831-8523-4105f050fd2f)
2. ТОО «Микрофинансовая организация «Finbox»  [33] (4af423c5-3c6c-4701-b263-d32b92a893ca)
3. ТОО «Микрофинансовая организация «Finbox»  [33] (99da55db-2516-4284-9766-0924ff68b6a8)
4. ТОО «Микрофинансовая Организация «MOST» [33] (4b26dc77-d9c7-489c-b375-2c7b7f5de62e)
5. ТОО «Микрофинансовая организация ФРИДОМ ФИНАНС Кредит» [33] (ee88c6d0-e1ea-4846-b6fb-3170a48358ea)</x:v>
      </x:c>
      <x:c r="M48" s="32" t="str"/>
      <x:c r="N48" s="32" t="str"/>
      <x:c r="O48" s="32" t="str">
        <x:v>Байгозина Мадина [assistant_1]</x:v>
      </x:c>
      <x:c r="P48" s="33" t="b">
        <x:v>0</x:v>
      </x:c>
      <x:c r="Q48" s="32" t="str">
        <x:v>needs_project_match</x:v>
      </x:c>
      <x:c r="R48" s="32" t="str">
        <x:v>choose_existing_project</x:v>
      </x:c>
      <x:c r="S48" s="32" t="str"/>
      <x:c r="T48" s="32" t="str"/>
      <x:c r="U48" s="32" t="str"/>
    </x:row>
    <x:row r="49" ht="42" customHeight="1">
      <x:c r="A49" s="32" t="str">
        <x:v>2 кв проекты 2024 rbi.xlsx::проекты 2 кв 2024::60</x:v>
      </x:c>
      <x:c r="B49" s="32" t="str">
        <x:v>2 кв Проекты 2024_RBI.xlsx</x:v>
      </x:c>
      <x:c r="C49" s="32" t="str">
        <x:v>Проекты 2 кв 2024 </x:v>
      </x:c>
      <x:c r="D49" s="32" t="n">
        <x:v>60</x:v>
      </x:c>
      <x:c r="E49" s="32" t="str">
        <x:v>ТОО ИЗА</x:v>
      </x:c>
      <x:c r="F49" s="32" t="str"/>
      <x:c r="G49" s="32" t="str"/>
      <x:c r="H49" s="32" t="str">
        <x:v>conflict</x:v>
      </x:c>
      <x:c r="I49" s="32" t="str">
        <x:v>ТОО «Микрофинансовая организация ФРИДОМ ФИНАНС Кредит»</x:v>
      </x:c>
      <x:c r="J49" s="32" t="n">
        <x:v>85</x:v>
      </x:c>
      <x:c r="K49" s="32" t="str">
        <x:v>not_found</x:v>
      </x:c>
      <x:c r="L49" s="32" t="str">
        <x:v>1. АО АстанаГаз КМГ - Услуги оценки ставки WACC, исходя из средневзвешенной стоимости капитала организации для проведения теста на
обесценение активов согласно МСФО 36 [50] (03cd1950-501d-46ab-aea2-119a521468ed)
2. АО Фонд гарантирования страховых выплат  - Заказчик поручает, а Исполнитель обязуется оказать Услуги в области налогообложения, в части получения консультационных услуг от нерезидента по работе над законопроектом по страховой деятельности. Организация-консультант является резидентом Объединенных Арабских Эмиратов. [50] (c13ff641-4b0c-4d1d-8fc6-ea2a497bda7e)
3. Евразийский фонд стабилизации и развития [50] (54e80c21-8949-4c87-9229-3e8a4c572feb)
4. Евразийский фонд стабилизации и развития [50] (3c925f14-52d2-460f-9737-7926232cac94)
5. Евразийский фонд стабилизации и развития (24 000 доллар без ндс) [50] (b3d7fedb-55d1-4155-b950-064e39c1e485)</x:v>
      </x:c>
      <x:c r="M49" s="32" t="str"/>
      <x:c r="N49" s="32" t="str"/>
      <x:c r="O49" s="32" t="str">
        <x:v>Егор Чернов [assistant_1]</x:v>
      </x:c>
      <x:c r="P49" s="33" t="b">
        <x:v>0</x:v>
      </x:c>
      <x:c r="Q49" s="32" t="str">
        <x:v>needs_project_match</x:v>
      </x:c>
      <x:c r="R49" s="32" t="str">
        <x:v>choose_existing_project</x:v>
      </x:c>
      <x:c r="S49" s="32" t="str"/>
      <x:c r="T49" s="32" t="str"/>
      <x:c r="U49" s="32" t="str"/>
    </x:row>
    <x:row r="50" ht="42" customHeight="1">
      <x:c r="A50" s="32" t="str">
        <x:v>2 кв проекты 2025 rbi.xlsx::проекты 2 кв 2025::15</x:v>
      </x:c>
      <x:c r="B50" s="32" t="str">
        <x:v>2 кв Проекты 2025_RBI.xlsx</x:v>
      </x:c>
      <x:c r="C50" s="32" t="str">
        <x:v>Проекты 2 кв 2025</x:v>
      </x:c>
      <x:c r="D50" s="32" t="n">
        <x:v>15</x:v>
      </x:c>
      <x:c r="E50" s="32" t="str">
        <x:v>СК-Фармация ТОО</x:v>
      </x:c>
      <x:c r="F50" s="32" t="str">
        <x:v>Аудит ФО</x:v>
      </x:c>
      <x:c r="G50" s="32" t="str">
        <x:v>ТОО Russell Bedford A+ Partners</x:v>
      </x:c>
      <x:c r="H50" s="32" t="str">
        <x:v>conflict</x:v>
      </x:c>
      <x:c r="I50" s="32" t="str">
        <x:v>ТОО СК-Фармация</x:v>
      </x:c>
      <x:c r="J50" s="32" t="n">
        <x:v>85</x:v>
      </x:c>
      <x:c r="K50" s="32" t="str">
        <x:v>conflict</x:v>
      </x:c>
      <x:c r="L50" s="32" t="str">
        <x:v>1. 	АО "Социально-предпринимательская корпорация "Актобе" (за 2024-2026гг) - Закуп услуги по проведению аудита финансовой отчетности за 2024–2025-2026 годы Акционерного общества «Социально-предпринимательская
корпорация «Актобе»
Аудит за 2026 год [84] (e5039b53-76ad-4967-b953-7fbf6fda0939)
2. АО "Социально-предпринимательская корпорация "Актобе" (за 2024-2026гг) - Аудит финансовой отчетности за 2026 год
(Аудит финансовой отчетности за 2024–2025-2026 годы Акционерного общества «Социально-предпринимательская корпорация «Актобе») [84] (76ff2e58-fe2f-4fe2-a387-4a528d39ae94)
3. АО «Казахский институт нефти и газа» - Аудит отдельной и консолидированной финансовой отчетности АО «Казахский институт нефти и газа» за период с 1 января 2025 года по 31 декабря 2025 года, подготовленной в соответствии с Международными Стандартами Финансовой Отчетности  [84] (5be4413f-2e27-45dc-ba88-6b2459ef007c)
4. АО «Национальные информационные технологии» - на безвозмездное оказание аудиторских услуг - услуг по проведению аудита отдельной и консолидированной финансовой отчетности Акционерного общества «Национальные информационные технологии», заканчивающийся 31.12.2025 года, подготовленной в соответствии с Международными Стандартами Финансовой Отчетности, для предоставления и размещения на фондовой бирже KASE.KZ и не используется для иных целей, в том числе для бухгалтерского и налогового учета Заказчика  [84] (905166ec-326e-4e60-9273-fce0d09191f7)
5. АО «Социально-предпринимательская корпорация «Astana»  - аудит отдельной и консолидированной финансовой отчетности за 2025 год, подготовленной в соответствии с Международными Стандартами Финансовой Отчетности (МСФО) [84] (b30fa63c-e01d-45b5-8e5c-4c6060528856)</x:v>
      </x:c>
      <x:c r="M50" s="32" t="str"/>
      <x:c r="N50" s="32" t="str"/>
      <x:c r="O50" s="32" t="str">
        <x:v>Сауле Бадамбаева [partner]
Меруерт Салимова [assistant_1]</x:v>
      </x:c>
      <x:c r="P50" s="33" t="b">
        <x:v>0</x:v>
      </x:c>
      <x:c r="Q50" s="32" t="str">
        <x:v>needs_project_match</x:v>
      </x:c>
      <x:c r="R50" s="32" t="str">
        <x:v>choose_existing_project</x:v>
      </x:c>
      <x:c r="S50" s="32" t="str"/>
      <x:c r="T50" s="32" t="str"/>
      <x:c r="U50" s="32" t="str"/>
    </x:row>
    <x:row r="51" ht="42" customHeight="1">
      <x:c r="A51" s="32" t="str">
        <x:v>2 кв проекты 2025 rbi.xlsx::проекты 2 кв 2025::16</x:v>
      </x:c>
      <x:c r="B51" s="32" t="str">
        <x:v>2 кв Проекты 2025_RBI.xlsx</x:v>
      </x:c>
      <x:c r="C51" s="32" t="str">
        <x:v>Проекты 2 кв 2025</x:v>
      </x:c>
      <x:c r="D51" s="32" t="n">
        <x:v>16</x:v>
      </x:c>
      <x:c r="E51" s="32" t="str">
        <x:v>Социально-предпринимательская корпорация Актобе</x:v>
      </x:c>
      <x:c r="F51" s="32" t="str">
        <x:v>Аудит ФО</x:v>
      </x:c>
      <x:c r="G51" s="32" t="str">
        <x:v>ТОО Russell Bedford A+ Partners</x:v>
      </x:c>
      <x:c r="H51" s="32" t="str">
        <x:v>conflict</x:v>
      </x:c>
      <x:c r="I51" s="32" t="str">
        <x:v>	АО "Социально-предпринимательская корпорация "Актобе" (за 2024-2026гг) - Закуп услуги по проведению аудита финансовой отчетности за 2024–2025-2026 годы Акционерного общества «Социально-предпринимательская
корпорация «Актобе»
Аудит за 2026 год</x:v>
      </x:c>
      <x:c r="J51" s="32" t="n">
        <x:v>194</x:v>
      </x:c>
      <x:c r="K51" s="32" t="str">
        <x:v>conflict</x:v>
      </x:c>
      <x:c r="L51" s="32" t="str">
        <x:v>1. 	АО "Социально-предпринимательская корпорация "Актобе" (за 2024-2026гг) - Закуп услуги по проведению аудита финансовой отчетности за 2024–2025-2026 годы Акционерного общества «Социально-предпринимательская
корпорация «Актобе»
Аудит за 2026 год [194] (e5039b53-76ad-4967-b953-7fbf6fda0939)
2. АО "Социально-предпринимательская корпорация "Актобе" (за 2024-2026гг) - Аудит финансовой отчетности за 2026 год
(Аудит финансовой отчетности за 2024–2025-2026 годы Акционерного общества «Социально-предпринимательская корпорация «Актобе») [194] (76ff2e58-fe2f-4fe2-a387-4a528d39ae94)
3. АО "Социально-предпринимательская корпорация "Актобе" (за 2024-2026гг) [170] (12846dc0-ed5b-4c68-a02a-a3c752de18fc)
4. АО "Социально-предпринимательская корпорация "Актобе" (за 2024-2026гг) [170] (86257a36-88eb-4d90-865c-bbfc150a7f7c)
5. АО "Социально-предпринимательская корпорация "Актобе" (за 2024-2026гг) [170] (a22bb2ca-b195-4a53-b790-249a79cdc78e)</x:v>
      </x:c>
      <x:c r="M51" s="32" t="str"/>
      <x:c r="N51" s="32" t="str"/>
      <x:c r="O51" s="32" t="str">
        <x:v>Сауле Бадамбаева [partner]
Жаркымбекова Камиля [assistant_1]</x:v>
      </x:c>
      <x:c r="P51" s="33" t="b">
        <x:v>0</x:v>
      </x:c>
      <x:c r="Q51" s="32" t="str">
        <x:v>needs_project_match</x:v>
      </x:c>
      <x:c r="R51" s="32" t="str">
        <x:v>choose_existing_project</x:v>
      </x:c>
      <x:c r="S51" s="32" t="str"/>
      <x:c r="T51" s="32" t="str"/>
      <x:c r="U51" s="32" t="str"/>
    </x:row>
    <x:row r="52" ht="42" customHeight="1">
      <x:c r="A52" s="32" t="str">
        <x:v>2 кв проекты 2025 rbi.xlsx::проекты 2 кв 2025::39</x:v>
      </x:c>
      <x:c r="B52" s="32" t="str">
        <x:v>2 кв Проекты 2025_RBI.xlsx</x:v>
      </x:c>
      <x:c r="C52" s="32" t="str">
        <x:v>Проекты 2 кв 2025</x:v>
      </x:c>
      <x:c r="D52" s="32" t="n">
        <x:v>39</x:v>
      </x:c>
      <x:c r="E52" s="32" t="str">
        <x:v>Бай Тау Минералс ТОО</x:v>
      </x:c>
      <x:c r="F52" s="32" t="str">
        <x:v>Аудит ФО</x:v>
      </x:c>
      <x:c r="G52" s="32" t="str">
        <x:v>ТОО Russell Bedford A+ Partners</x:v>
      </x:c>
      <x:c r="H52" s="32" t="str">
        <x:v>conflict</x:v>
      </x:c>
      <x:c r="I52" s="32" t="str">
        <x:v>ТОО Бай Тау Минералс</x:v>
      </x:c>
      <x:c r="J52" s="32" t="n">
        <x:v>85</x:v>
      </x:c>
      <x:c r="K52" s="32" t="str">
        <x:v>not_found</x:v>
      </x:c>
      <x:c r="L52" s="32" t="str">
        <x:v>1. ТОО Бай Тау Минералс [50] (58a47fe0-72b6-4ef4-b323-e17f73a0050e)
2. ТОО Бай Тау Минералс [50] (79667c4c-1842-471c-bf17-556e6f5700f5)
3. ТОО Бай Тау Минералс [50] (4a3dd3be-f45c-4dd4-91d4-10380c18f0f5)
4. ТОО Бай Тау Минералс [50] (6c62ba11-bb66-4cef-a693-300e7394405d)
5. Частная компания «Allium Ursinum Limited» (Группа компаний Бай-Тау Минералс) [50] (d4557d3c-bc33-4f44-8848-35490972fc69)</x:v>
      </x:c>
      <x:c r="M52" s="32" t="str"/>
      <x:c r="N52" s="32" t="str"/>
      <x:c r="O52" s="32" t="str">
        <x:v>Сауле Бадамбаева [partner]</x:v>
      </x:c>
      <x:c r="P52" s="33" t="b">
        <x:v>0</x:v>
      </x:c>
      <x:c r="Q52" s="32" t="str">
        <x:v>needs_project_match</x:v>
      </x:c>
      <x:c r="R52" s="32" t="str">
        <x:v>choose_existing_project</x:v>
      </x:c>
      <x:c r="S52" s="32" t="str"/>
      <x:c r="T52" s="32" t="str"/>
      <x:c r="U52" s="32" t="str"/>
    </x:row>
    <x:row r="53" ht="42" customHeight="1">
      <x:c r="A53" s="32" t="str">
        <x:v>2 кв проекты 2025 rbi.xlsx::проекты 2 кв 2025::61</x:v>
      </x:c>
      <x:c r="B53" s="32" t="str">
        <x:v>2 кв Проекты 2025_RBI.xlsx</x:v>
      </x:c>
      <x:c r="C53" s="32" t="str">
        <x:v>Проекты 2 кв 2025</x:v>
      </x:c>
      <x:c r="D53" s="32" t="n">
        <x:v>61</x:v>
      </x:c>
      <x:c r="E53" s="32" t="str">
        <x:v>АО Компания по страх жизни ГАК</x:v>
      </x:c>
      <x:c r="F53" s="32" t="str">
        <x:v>Аудит ФО</x:v>
      </x:c>
      <x:c r="G53" s="32" t="str">
        <x:v>ТОО Russell Bedford A+ Partners</x:v>
      </x:c>
      <x:c r="H53" s="32" t="str">
        <x:v>conflict</x:v>
      </x:c>
      <x:c r="I53" s="32" t="str">
        <x:v>ТОО «Тойота Иншуранс Менеджмент (страховые брокеры)»  - услуг по проведению аудита отдельной и консолидированной финансовой отчетности ТОО «Тойота Иншуранс Менеджмент (страховые брокеры)» за 2025 год, подготовленной в соответствии с Международными Стандартами Финансовой Отчетности (МСФО )</x:v>
      </x:c>
      <x:c r="J53" s="32" t="n">
        <x:v>84</x:v>
      </x:c>
      <x:c r="K53" s="32" t="str">
        <x:v>conflict</x:v>
      </x:c>
      <x:c r="L53" s="32" t="str">
        <x:v>1. ТОО "MOI (МОЙ) страховой брокер" - услуг по проведению аудита отдельной и консолидированной финансовой отчетности ТОО "MOI  (МОЙ )страховой брокер" за период с 1 января 2025 года по 31 декабря 2025 года, подготовленной в соответствии с Международными Стандартами Финансовой Отчетности.  [84] (578bfc96-b4ca-4261-aac3-2e56ac66b884)
2. ТОО «Тойота Иншуранс Менеджмент (страховые брокеры)»  - услуг по проведению аудита отдельной и консолидированной финансовой отчетности ТОО «Тойота Иншуранс Менеджмент (страховые брокеры)» за 2025 год, подготовленной в соответствии с Международными Стандартами Финансовой Отчетности (МСФО ) [84] (05ac74d7-4693-4217-a0dd-af00de6de1a2)
3. АО "Компания по страхованию жизни "Государственная аннуитетная компания" [38] (83231bb0-033f-4863-a9d9-7d724f7fd957)
4. АО "Компания по страхованию жизни "Государственная аннуитетная компания" [38] (c269f1b0-ce0c-421a-9bbb-e6a33cca3597)
5. АО "Компания по страхованию жизни "Государственная аннуитетная компания" [38] (9bba5414-c818-4bc5-8964-91d7ca399b66)</x:v>
      </x:c>
      <x:c r="M53" s="32" t="str">
        <x:v>partner differs: existing 4cb72e5f-7375-4278-bd38-b29a7e4a197c vs Шынгыс Сартаев</x:v>
      </x:c>
      <x:c r="N53" s="32" t="str">
        <x:v>Кенжекулов Адилжан Абдикалыкович [partner]
Сауле Тримова [assistant_1]</x:v>
      </x:c>
      <x:c r="O53" s="32" t="str">
        <x:v>Шынгыс Сартаев [partner]</x:v>
      </x:c>
      <x:c r="P53" s="33" t="b">
        <x:v>1</x:v>
      </x:c>
      <x:c r="Q53" s="32" t="str">
        <x:v>needs_project_match</x:v>
      </x:c>
      <x:c r="R53" s="32" t="str">
        <x:v>choose_existing_project</x:v>
      </x:c>
      <x:c r="S53" s="32" t="str"/>
      <x:c r="T53" s="32" t="str"/>
      <x:c r="U53" s="32" t="str"/>
    </x:row>
    <x:row r="54" ht="42" customHeight="1">
      <x:c r="A54" s="32" t="str">
        <x:v>2 кв проекты 2025 rbi.xlsx::проекты 2 кв 2025::65</x:v>
      </x:c>
      <x:c r="B54" s="32" t="str">
        <x:v>2 кв Проекты 2025_RBI.xlsx</x:v>
      </x:c>
      <x:c r="C54" s="32" t="str">
        <x:v>Проекты 2 кв 2025</x:v>
      </x:c>
      <x:c r="D54" s="32" t="n">
        <x:v>65</x:v>
      </x:c>
      <x:c r="E54" s="32" t="str">
        <x:v>АО Дочернее предприятие - Актобе Темир - ВС</x:v>
      </x:c>
      <x:c r="F54" s="32" t="str">
        <x:v>Аудит ФО</x:v>
      </x:c>
      <x:c r="G54" s="32" t="str">
        <x:v>ТОО Russell Bedford A+ Partners</x:v>
      </x:c>
      <x:c r="H54" s="32" t="str">
        <x:v>conflict</x:v>
      </x:c>
      <x:c r="I54" s="32" t="str">
        <x:v>АО «Дочернее предприятие «Актобе-Темир-В.С.»</x:v>
      </x:c>
      <x:c r="J54" s="32" t="n">
        <x:v>75</x:v>
      </x:c>
      <x:c r="K54" s="32" t="str">
        <x:v>not_found</x:v>
      </x:c>
      <x:c r="L54" s="32" t="str">
        <x:v>1. АО «Дочернее предприятие «Актобе-Темир-В.С.» [40] (b8a9f223-2ad7-494b-8d29-65f358f84da3)
2. 	АО "Социально-предпринимательская корпорация "Актобе" (за 2024-2026гг) - Закуп услуги по проведению аудита финансовой отчетности за 2024–2025-2026 годы Акционерного общества «Социально-предпринимательская
корпорация «Актобе»
Аудит за 2026 год [24] (e5039b53-76ad-4967-b953-7fbf6fda0939)
3. АО "Социально-предпринимательская корпорация "Актобе" (за 2024-2026гг) - Аудит финансовой отчетности за 2026 год
(Аудит финансовой отчетности за 2024–2025-2026 годы Акционерного общества «Социально-предпринимательская корпорация «Актобе») [24] (76ff2e58-fe2f-4fe2-a387-4a528d39ae94)
4. ТОО Интертрейд Актобе  - услуг по проведению аудита финансовой отчетности за период с 1 января 2025 года по 31 декабря 2026 года [24] (365b2a9a-9221-4058-b1ad-3bcb1a0574d3)
5. ТОО Микрофинансовая организация InvesCore Finance - 1.1 Аудит финансовой отчетности ТОО «Микрофинансовая организация МФО InvesCore Finance» за 2025 год, подготовленной в соответствии с Международными стандартами финансовой отчетности, (далее – Услуги);
1.2	Проведение онлайн-встречи с материнской компанией (Комитет по аудиту) и возможной встречи с групповым аудитором для обсуждения аудиторского отчёта, не более 8 (восьми) часов
 [24] (56340057-1683-4513-a067-04fa7f8efe18)</x:v>
      </x:c>
      <x:c r="M54" s="32" t="str"/>
      <x:c r="N54" s="32" t="str"/>
      <x:c r="O54" s="32" t="str">
        <x:v>Арнабеков Ерлан [partner]</x:v>
      </x:c>
      <x:c r="P54" s="33" t="b">
        <x:v>0</x:v>
      </x:c>
      <x:c r="Q54" s="32" t="str">
        <x:v>needs_project_match</x:v>
      </x:c>
      <x:c r="R54" s="32" t="str">
        <x:v>choose_existing_project</x:v>
      </x:c>
      <x:c r="S54" s="32" t="str"/>
      <x:c r="T54" s="32" t="str"/>
      <x:c r="U54" s="32" t="str"/>
    </x:row>
    <x:row r="55" ht="42" customHeight="1">
      <x:c r="A55" s="32" t="str">
        <x:v>2 кв проекты 2025 rbi.xlsx::проекты 2 кв 2025::73</x:v>
      </x:c>
      <x:c r="B55" s="32" t="str">
        <x:v>2 кв Проекты 2025_RBI.xlsx</x:v>
      </x:c>
      <x:c r="C55" s="32" t="str">
        <x:v>Проекты 2 кв 2025</x:v>
      </x:c>
      <x:c r="D55" s="32" t="n">
        <x:v>73</x:v>
      </x:c>
      <x:c r="E55" s="32" t="str">
        <x:v>АО Компания по страх жизни ГАК</x:v>
      </x:c>
      <x:c r="F55" s="32" t="str">
        <x:v>Аудит ФО</x:v>
      </x:c>
      <x:c r="G55" s="32" t="str"/>
      <x:c r="H55" s="32" t="str">
        <x:v>conflict</x:v>
      </x:c>
      <x:c r="I55" s="32" t="str">
        <x:v>ТОО «Тойота Иншуранс Менеджмент (страховые брокеры)»  - услуг по проведению аудита отдельной и консолидированной финансовой отчетности ТОО «Тойота Иншуранс Менеджмент (страховые брокеры)» за 2025 год, подготовленной в соответствии с Международными Стандартами Финансовой Отчетности (МСФО )</x:v>
      </x:c>
      <x:c r="J55" s="32" t="n">
        <x:v>84</x:v>
      </x:c>
      <x:c r="K55" s="32" t="str">
        <x:v>conflict</x:v>
      </x:c>
      <x:c r="L55" s="32" t="str">
        <x:v>1. ТОО "MOI (МОЙ) страховой брокер" - услуг по проведению аудита отдельной и консолидированной финансовой отчетности ТОО "MOI  (МОЙ )страховой брокер" за период с 1 января 2025 года по 31 декабря 2025 года, подготовленной в соответствии с Международными Стандартами Финансовой Отчетности.  [84] (578bfc96-b4ca-4261-aac3-2e56ac66b884)
2. ТОО «Тойота Иншуранс Менеджмент (страховые брокеры)»  - услуг по проведению аудита отдельной и консолидированной финансовой отчетности ТОО «Тойота Иншуранс Менеджмент (страховые брокеры)» за 2025 год, подготовленной в соответствии с Международными Стандартами Финансовой Отчетности (МСФО ) [84] (05ac74d7-4693-4217-a0dd-af00de6de1a2)
3. АО "Компания по страхованию жизни "Государственная аннуитетная компания" [38] (83231bb0-033f-4863-a9d9-7d724f7fd957)
4. АО "Компания по страхованию жизни "Государственная аннуитетная компания" [38] (c269f1b0-ce0c-421a-9bbb-e6a33cca3597)
5. АО "Компания по страхованию жизни "Государственная аннуитетная компания" [38] (9bba5414-c818-4bc5-8964-91d7ca399b66)</x:v>
      </x:c>
      <x:c r="M55" s="32" t="str"/>
      <x:c r="N55" s="32" t="str">
        <x:v>Кенжекулов Адилжан Абдикалыкович [partner]
Сауле Тримова [assistant_1]</x:v>
      </x:c>
      <x:c r="O55" s="32" t="str"/>
      <x:c r="P55" s="33" t="b">
        <x:v>1</x:v>
      </x:c>
      <x:c r="Q55" s="32" t="str">
        <x:v>needs_project_match</x:v>
      </x:c>
      <x:c r="R55" s="32" t="str">
        <x:v>choose_existing_project</x:v>
      </x:c>
      <x:c r="S55" s="32" t="str"/>
      <x:c r="T55" s="32" t="str"/>
      <x:c r="U55" s="32" t="str"/>
    </x:row>
    <x:row r="56" ht="42" customHeight="1">
      <x:c r="A56" s="32" t="str">
        <x:v>2 кв проекты 2025 rbi.xlsx::проекты 2 кв 2025::79</x:v>
      </x:c>
      <x:c r="B56" s="32" t="str">
        <x:v>2 кв Проекты 2025_RBI.xlsx</x:v>
      </x:c>
      <x:c r="C56" s="32" t="str">
        <x:v>Проекты 2 кв 2025</x:v>
      </x:c>
      <x:c r="D56" s="32" t="n">
        <x:v>79</x:v>
      </x:c>
      <x:c r="E56" s="32" t="str">
        <x:v>ТОО "ARK CO ( ARK KO)"</x:v>
      </x:c>
      <x:c r="F56" s="32" t="str">
        <x:v>Аудит ФО</x:v>
      </x:c>
      <x:c r="G56" s="32" t="str">
        <x:v>ТОО Russell Bedford A+ Partners</x:v>
      </x:c>
      <x:c r="H56" s="32" t="str">
        <x:v>conflict</x:v>
      </x:c>
      <x:c r="I56" s="32" t="str">
        <x:v>ТОО Parker Consulting &amp; Appraisal - Услуги по оценке рыночной стоимости данного объекта: Исключительно права на результаты интеллектуальной деятельности: Программа для ЭВМ "ALLIOT - платформа соответствия МСФО9/17 и SOLVENCY 2"</x:v>
      </x:c>
      <x:c r="J56" s="32" t="n">
        <x:v>85</x:v>
      </x:c>
      <x:c r="K56" s="32" t="str">
        <x:v>conflict</x:v>
      </x:c>
      <x:c r="L56" s="32" t="str">
        <x:v>1. ТОО Viva Marketing &amp; Distribution - 1.1. Заказчик поручает и оплачивает, а Исполнитель принимает на себя обязательство по оказанию Заказчику услуг:
1.1.1. по проведению аудита финансовой отчетности ТОО «Viva Marketing &amp; Distribution» за 2025 год, подготовленной в соответствии с Международными Стандартами Финансовой Отчетности (МСФО);
1.1.2. по проведению аудита налоговой отчетности ТОО «Viva Marketing &amp; Distribution» за 2025 год (далее – услуги) (далее – услуги).
 [84] (9ea8a9da-6754-4142-ae9d-6116ca8ec02b)
2. Частная компания Neomarkets Ltd., - 1.1.	 Заказчик поручает и оплачивает, а Исполнитель принимает на себя обязательство по оказанию Заказчику услуг:
- Аудит финансовой отчетности Частной компании Neomarkets Ltd. за 2025 год, подготовленной в соответствии с Международными Стандартами Финансовой Отчетности (МСФО). Валюта презентации финансовой отчетности – в тенге и в USD.
- Проверка корректности расчетов пруденциальных нормативов Частной Компании Neomarkets Ltd. в течение года и содержания квартальной отчетности по ним, направленной Регулятору МФЦА, в соответствии с требованиями НПА МФЦА за 2025 год (далее – услуги).
 [84] (2852cc4f-cdad-4cb1-9c5d-df77a5929cfe)
3. ТОО Parker Consulting &amp; Appraisal - Услуги по оценке рыночной стоимости данного объекта: Исключительно права на результаты интеллектуальной деятельности: Программа для ЭВМ "ALLIOT - платформа соответствия МСФО9/17 и SOLVENCY 2" [50] (c13f56f0-b518-4727-a821-5391bd37afb9)
4. ЧАСТНАЯ КОМПАНИЯ ОТКРЫТОГО ИНВЕСТИЦИОННОГО ТИПА TG GLOBAL SARYARKA FUND OEIC LIMITED - Услуги по проведению аудита отдельной и консолидированной финансовой отчётности [49] (7e166492-87ee-4eeb-81a7-4cadb8bc7bd0)
5. ТОО ARK CO (АРК КО) [38] (53f21fc9-d77f-4653-84d1-be6cd2820a24)</x:v>
      </x:c>
      <x:c r="M56" s="32" t="str"/>
      <x:c r="N56" s="32" t="str">
        <x:v>Кенжекулов Адилжан Абдикалыкович [partner]</x:v>
      </x:c>
      <x:c r="O56" s="32" t="str">
        <x:v>Жумадилов Бакыт [partner]
Дина Окина [assistant_1]</x:v>
      </x:c>
      <x:c r="P56" s="33" t="b">
        <x:v>0</x:v>
      </x:c>
      <x:c r="Q56" s="32" t="str">
        <x:v>needs_project_match</x:v>
      </x:c>
      <x:c r="R56" s="32" t="str">
        <x:v>choose_existing_project</x:v>
      </x:c>
      <x:c r="S56" s="32" t="str"/>
      <x:c r="T56" s="32" t="str"/>
      <x:c r="U56" s="32" t="str"/>
    </x:row>
    <x:row r="57" ht="42" customHeight="1">
      <x:c r="A57" s="32" t="str">
        <x:v>3 кв проекты 2024 rbi.xlsx::проекты 3 кв 2024::18</x:v>
      </x:c>
      <x:c r="B57" s="32" t="str">
        <x:v>3 кв Проекты 2024_RBI.xlsx</x:v>
      </x:c>
      <x:c r="C57" s="32" t="str">
        <x:v>Проекты 3 кв 2024 </x:v>
      </x:c>
      <x:c r="D57" s="32" t="n">
        <x:v>18</x:v>
      </x:c>
      <x:c r="E57" s="32" t="str">
        <x:v>ТОО «Ас-Ан Маркет»</x:v>
      </x:c>
      <x:c r="F57" s="32" t="str">
        <x:v>Аудит ФО</x:v>
      </x:c>
      <x:c r="G57" s="32" t="str">
        <x:v>IAC Russell Bedford A+ Partners LLP</x:v>
      </x:c>
      <x:c r="H57" s="32" t="str">
        <x:v>conflict</x:v>
      </x:c>
      <x:c r="I57" s="32" t="str">
        <x:v>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x:v>
      </x:c>
      <x:c r="J57" s="32" t="n">
        <x:v>92</x:v>
      </x:c>
      <x:c r="K57" s="32" t="str">
        <x:v>conflict</x:v>
      </x:c>
      <x:c r="L57" s="32" t="str">
        <x:v>1. 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 [92] (03813a13-459e-4d7f-ac17-8e2d050faccd)
2. Частная компания Unicorn Holdings Limited - услуг по проведению аудита финансовой отчетности Частной компании Unicorn Holdings Limited, за 2024 год, в соответствии с МСФО и МСА. Валюта презентации финансовой отчетности – в долларах США или в тенге [92] (a853d618-a602-42e9-8a7b-551d9680cc4f)
3. Частная компания MOST IT HUB Almaty Limited (аудит за 2021-2023) [80] (dae71fa5-cad3-49b0-ac52-87a3be1e887e)
4. Частная компания MOST IT HUB Almaty Limited (аудит за 2021-2023) [80] (dd3cdce3-6a7f-4068-b841-e56e874b12c6)
5. Частная компания MOST IT HUB Almaty Limited (аудит за 2021-2023) [80] (a61946a7-16c3-4b9c-a4c5-aaaabce35b61)</x:v>
      </x:c>
      <x:c r="M57" s="32" t="str"/>
      <x:c r="N57" s="32" t="str">
        <x:v>Арнабеков Ерлан [partner]</x:v>
      </x:c>
      <x:c r="O57" s="32" t="str">
        <x:v>Арнабеков Ерлан [partner]</x:v>
      </x:c>
      <x:c r="P57" s="33" t="b">
        <x:v>1</x:v>
      </x:c>
      <x:c r="Q57" s="32" t="str">
        <x:v>needs_project_match</x:v>
      </x:c>
      <x:c r="R57" s="32" t="str">
        <x:v>choose_existing_project</x:v>
      </x:c>
      <x:c r="S57" s="32" t="str"/>
      <x:c r="T57" s="32" t="str"/>
      <x:c r="U57" s="32" t="str"/>
    </x:row>
    <x:row r="58" ht="42" customHeight="1">
      <x:c r="A58" s="32" t="str">
        <x:v>3 кв проекты 2025 rbi.xlsx::аудит фо 3 кв 2025::4</x:v>
      </x:c>
      <x:c r="B58" s="32" t="str">
        <x:v>3 кв Проекты 2025_RBI.xlsx</x:v>
      </x:c>
      <x:c r="C58" s="32" t="str">
        <x:v>аудит ФО 3 кв 2025</x:v>
      </x:c>
      <x:c r="D58" s="32" t="n">
        <x:v>4</x:v>
      </x:c>
      <x:c r="E58" s="32" t="str">
        <x:v>Акционерное общество Компания по страхованию жизни " Государтсвенная Аннуитетная компания"</x:v>
      </x:c>
      <x:c r="F58" s="32" t="str">
        <x:v>Аудит ФО</x:v>
      </x:c>
      <x:c r="G58" s="32" t="str">
        <x:v>ТОО Russell Bedford A+ Partners</x:v>
      </x:c>
      <x:c r="H58" s="32" t="str">
        <x:v>conflict</x:v>
      </x:c>
      <x:c r="I58" s="32" t="str">
        <x:v>АО "Компания по страхованию жизни "Государственная аннуитетная компания"</x:v>
      </x:c>
      <x:c r="J58" s="32" t="n">
        <x:v>75</x:v>
      </x:c>
      <x:c r="K58" s="32" t="str">
        <x:v>conflict</x:v>
      </x:c>
      <x:c r="L58" s="32" t="str">
        <x:v>1. Акционерное общество «Amaranth Capital» - услуг по проведению аудита финансовой отчетности АО «Amaranth Capital» за период с 1 января 2025 года по 31 декабря 2025 года, подготовленной в соответствии с Международными Стандартами Финансовой Отчетности  [80] (646d721c-fc3f-414c-9853-cef1cce8ef47)
2. AO Tansar Capital  - Услуг по проведению аудита финансовой отчетности Акционерное общество "Tansar Capital" за период с 1 января 2025 года по 31 декабря 2025 года, подготовленной в соответствии с Международными Стандартами Финансовой Отчетности  [80] (27750c7a-c623-434d-9605-0666c73e02ac)
3. Акционерное общество "Национальная платежная корпорация Национального Банка Республики Казахстан" - АУДИТ за 2024 [68] (49694440-aee8-4cf4-af94-a8d4ef55a462)
4. Акционерное общество "Аэропорт Шымкент" - Услуги по проведению аудита финансовой отчетности [45] (c4918675-722f-4082-92f2-f0bbc58d23e0)
5. Акционерное общество "Социально-предпринимательская корпорация "Қонаев" - Услуги по
проведению
аудита
финансовой
отчетности [45] (1041b77c-6266-408d-b7bd-3c9fa71d062e)</x:v>
      </x:c>
      <x:c r="M58" s="32" t="str"/>
      <x:c r="N58" s="32" t="str">
        <x:v>Шынгыс Сартаев [partner]</x:v>
      </x:c>
      <x:c r="O58" s="32" t="str">
        <x:v>Шынгыс Сартаев [partner]
Василий Павленко [assistant_1]
Дмитрий Сыч [assistant_1]
Медекенов Марат Макунович [manager_1]
Казбекова Малика [assistant_1]
Ерлан Худайберген [tax_specialist_1]
Рахимжанова Мира [assistant_1]
Куралай [assistant_1]</x:v>
      </x:c>
      <x:c r="P58" s="33" t="b">
        <x:v>1</x:v>
      </x:c>
      <x:c r="Q58" s="32" t="str">
        <x:v>needs_project_match</x:v>
      </x:c>
      <x:c r="R58" s="32" t="str">
        <x:v>choose_existing_project</x:v>
      </x:c>
      <x:c r="S58" s="32" t="str"/>
      <x:c r="T58" s="32" t="str"/>
      <x:c r="U58" s="32" t="str"/>
    </x:row>
    <x:row r="59" ht="42" customHeight="1">
      <x:c r="A59" s="32" t="str">
        <x:v>3 кв проекты 2025 rbi.xlsx::аудит фо 3 кв 2025::15</x:v>
      </x:c>
      <x:c r="B59" s="32" t="str">
        <x:v>3 кв Проекты 2025_RBI.xlsx</x:v>
      </x:c>
      <x:c r="C59" s="32" t="str">
        <x:v>аудит ФО 3 кв 2025</x:v>
      </x:c>
      <x:c r="D59" s="32" t="n">
        <x:v>15</x:v>
      </x:c>
      <x:c r="E59" s="32" t="str">
        <x:v>АО Национальные информационные технологии</x:v>
      </x:c>
      <x:c r="F59" s="32" t="str"/>
      <x:c r="G59" s="32" t="str"/>
      <x:c r="H59" s="32" t="str">
        <x:v>conflict</x:v>
      </x:c>
      <x:c r="I59" s="32" t="str">
        <x:v>АО Национальные информационные технологии (НИТ)</x:v>
      </x:c>
      <x:c r="J59" s="32" t="n">
        <x:v>135</x:v>
      </x:c>
      <x:c r="K59" s="32" t="str">
        <x:v>conflict</x:v>
      </x:c>
      <x:c r="L59" s="32" t="str">
        <x:v>1. АО «Национальные информационные технологии» - на безвозмездное оказание аудиторских услуг - услуг по проведению аудита отдельной и консолидированной финансовой отчетности Акционерного общества «Национальные информационные технологии», заканчивающийся 31.12.2025 года, подготовленной в соответствии с Международными Стандартами Финансовой Отчетности, для предоставления и размещения на фондовой бирже KASE.KZ и не используется для иных целей, в том числе для бухгалтерского и налогового учета Заказчика  [135] (905166ec-326e-4e60-9273-fce0d09191f7)
2. АО Национальные информационные технологии (НИТ) [135] (63cf68e4-6e55-42df-bfd9-d3ae5669549a)
3. АО Национальные информационные технологии (НИТ) [135] (c69f51d2-7a77-4202-a8a2-c8fe7d97f849)
4. Акционерное общество «Национальные информационные технологии» - Услуги по проведению ревизий финансовых [50] (ff749fc8-128c-4fa4-abe9-c7591be534e5)</x:v>
      </x:c>
      <x:c r="M59" s="32" t="str"/>
      <x:c r="N59" s="32" t="str">
        <x:v>Кенжекулов Адилжан Абдикалыкович [partner]</x:v>
      </x:c>
      <x:c r="O59" s="32" t="str"/>
      <x:c r="P59" s="33" t="b">
        <x:v>1</x:v>
      </x:c>
      <x:c r="Q59" s="32" t="str">
        <x:v>needs_project_match</x:v>
      </x:c>
      <x:c r="R59" s="32" t="str">
        <x:v>choose_existing_project</x:v>
      </x:c>
      <x:c r="S59" s="32" t="str"/>
      <x:c r="T59" s="32" t="str"/>
      <x:c r="U59" s="32" t="str"/>
    </x:row>
    <x:row r="60" ht="42" customHeight="1">
      <x:c r="A60" s="32" t="str">
        <x:v>3 кв проекты 2025 rbi.xlsx::аудит фо 3 кв 2025::21</x:v>
      </x:c>
      <x:c r="B60" s="32" t="str">
        <x:v>3 кв Проекты 2025_RBI.xlsx</x:v>
      </x:c>
      <x:c r="C60" s="32" t="str">
        <x:v>аудит ФО 3 кв 2025</x:v>
      </x:c>
      <x:c r="D60" s="32" t="n">
        <x:v>21</x:v>
      </x:c>
      <x:c r="E60" s="32" t="str">
        <x:v>ТОО KONE KAZAKHSTAN (КОНЕ КАЗАХСТАН)</x:v>
      </x:c>
      <x:c r="F60" s="32" t="str"/>
      <x:c r="G60" s="32" t="str"/>
      <x:c r="H60" s="32" t="str">
        <x:v>conflict</x:v>
      </x:c>
      <x:c r="I60" s="32" t="str">
        <x:v>ТОО ««KONE KAZAKHSTAN» (КОНЕ КАЗАХСТАН) - 1.1.	Заказчик поручает и оплачивает, а Исполнитель принимает на себя обязательство по оказанию Заказчику:
1.1.1. услуг по проведению аудита финансовой отчетности за период с 01 января по 31 декабря 2025 года;
1.1.2. услуг по проведению аудита налоговой отчетности за период с 01 января по 31 декабря 2025 года 
</x:v>
      </x:c>
      <x:c r="J60" s="32" t="n">
        <x:v>135</x:v>
      </x:c>
      <x:c r="K60" s="32" t="str">
        <x:v>conflict</x:v>
      </x:c>
      <x:c r="L60" s="32" t="str">
        <x:v>1. ТОО ««KONE KAZAKHSTAN» (КОНЕ КАЗАХСТАН) - 1.1.	Заказчик поручает и оплачивает, а Исполнитель принимает на себя обязательство по оказанию Заказчику:
1.1.1. услуг по проведению аудита финансовой отчетности за период с 01 января по 31 декабря 2025 года;
1.1.2. услуг по проведению аудита налоговой отчетности за период с 01 января по 31 декабря 2025 года 
 [135] (cd306c54-a258-4d84-9268-6f9f53b490dd)
2. ТОО KONE KAZAKHSTAN (КОНЕ КАЗАХСТАН) - услуги по проведению инвентаризации запасов и основных средств офиса Заказчика в г. Алматы;
 [135] (0cd36fb4-e3e5-44fe-8d44-0e3b15a89336)
3. ТОО "Kazakhstan Petrochemical Industries Inc." /"Казахстан Петрокемикал Индастриз Инк."/ [25] (ebbb558b-b487-465d-97e4-97708e8a81a0)
4. ТОО «QIWI Kazakhstan» (КИВИ Казахстан) [25] (6cdb22f0-75e0-4ca3-9622-d4682575602b)
5. ТОО «QIWI Kazakhstan» (КИВИ Казахстан) [25] (5d656fd2-6b2a-473e-bff2-588fef82d26a)</x:v>
      </x:c>
      <x:c r="M60" s="32" t="str"/>
      <x:c r="N60" s="32" t="str"/>
      <x:c r="O60" s="32" t="str"/>
      <x:c r="P60" s="33" t="b">
        <x:v>0</x:v>
      </x:c>
      <x:c r="Q60" s="32" t="str">
        <x:v>needs_project_match</x:v>
      </x:c>
      <x:c r="R60" s="32" t="str">
        <x:v>choose_existing_project</x:v>
      </x:c>
      <x:c r="S60" s="32" t="str"/>
      <x:c r="T60" s="32" t="str"/>
      <x:c r="U60" s="32" t="str"/>
    </x:row>
    <x:row r="61" ht="42" customHeight="1">
      <x:c r="A61" s="32" t="str">
        <x:v>3 кв проекты 2025 rbi.xlsx::аудит фо 3 кв 2025::32</x:v>
      </x:c>
      <x:c r="B61" s="32" t="str">
        <x:v>3 кв Проекты 2025_RBI.xlsx</x:v>
      </x:c>
      <x:c r="C61" s="32" t="str">
        <x:v>аудит ФО 3 кв 2025</x:v>
      </x:c>
      <x:c r="D61" s="32" t="n">
        <x:v>32</x:v>
      </x:c>
      <x:c r="E61" s="32" t="str">
        <x:v>Филиал АО SK ecoplant Co., Ltd.</x:v>
      </x:c>
      <x:c r="F61" s="32" t="str"/>
      <x:c r="G61" s="32" t="str"/>
      <x:c r="H61" s="32" t="str">
        <x:v>conflict</x:v>
      </x:c>
      <x:c r="I61" s="32" t="str">
        <x:v>Филиал АО "SK ecoplant Co., Ltd." (ЭсКей экоплант) в Республике Казахстан</x:v>
      </x:c>
      <x:c r="J61" s="32" t="n">
        <x:v>135</x:v>
      </x:c>
      <x:c r="K61" s="32" t="str">
        <x:v>conflict</x:v>
      </x:c>
      <x:c r="L61" s="32" t="str">
        <x:v>1. Филиал АО "SK ecoplant Co., Ltd." (ЭсКей экоплант) в Республике Казахстан [135] (ce9678b9-3fd8-4751-9dbf-197e90108fcc)
2. Филиал АО "SK ecoplant Co., Ltd." (ЭсКей экоплант) в Республике Казахстан - услуг по проведению аудита финансовой отчетности за 2025 год  [135] (d88ee28c-3be4-4f46-b332-7e88eb9cd4dc)
3. Частная компания «SkyBridge Digital Finance Ltd.» [20] (f407e814-994f-42a7-a8a7-ac8362310ee3)
4. Частная компания «SkyBridge Digital Finance Ltd.» [20] (cc98690b-3c17-4fb7-8392-ee54f117ce12)
5. Частная компания «SkyBridge Digital Finance Ltd.» [20] (aaa05862-77e3-45b9-9b82-f5daa73eb22a)</x:v>
      </x:c>
      <x:c r="M61" s="32" t="str"/>
      <x:c r="N61" s="32" t="str">
        <x:v>Сауле Бадамбаева [partner]
Куандыкова Жанар Ерлановна [tax_specialist_2]
Нускабаева Райхан [manager_1]
Сартаева Гаухар Шыныбековна [manager_1]</x:v>
      </x:c>
      <x:c r="O61" s="32" t="str"/>
      <x:c r="P61" s="33" t="b">
        <x:v>1</x:v>
      </x:c>
      <x:c r="Q61" s="32" t="str">
        <x:v>needs_project_match</x:v>
      </x:c>
      <x:c r="R61" s="32" t="str">
        <x:v>choose_existing_project</x:v>
      </x:c>
      <x:c r="S61" s="32" t="str"/>
      <x:c r="T61" s="32" t="str"/>
      <x:c r="U61" s="32" t="str"/>
    </x:row>
    <x:row r="62" ht="42" customHeight="1">
      <x:c r="A62" s="32" t="str">
        <x:v>4 кв проекты 2024 rbi.xlsx::проекты 4 кв 2024::3</x:v>
      </x:c>
      <x:c r="B62" s="32" t="str">
        <x:v>4 кв Проекты 2024_RBI.xlsx</x:v>
      </x:c>
      <x:c r="C62" s="32" t="str">
        <x:v>Проекты 4 кв 2024 </x:v>
      </x:c>
      <x:c r="D62" s="32" t="n">
        <x:v>3</x:v>
      </x:c>
      <x:c r="E62" s="32" t="str">
        <x:v>ТОО Микрофинансовая организация Almaty</x:v>
      </x:c>
      <x:c r="F62" s="32" t="str"/>
      <x:c r="G62" s="32" t="str"/>
      <x:c r="H62" s="32" t="str">
        <x:v>conflict</x:v>
      </x:c>
      <x:c r="I62" s="32" t="str">
        <x:v>ТОО «Микрофинансовая организация ФРИДОМ ФИНАНС Кредит»</x:v>
      </x:c>
      <x:c r="J62" s="32" t="n">
        <x:v>68</x:v>
      </x:c>
      <x:c r="K62" s="32" t="str">
        <x:v>not_found</x:v>
      </x:c>
      <x:c r="L62" s="32" t="str">
        <x:v>1. ТОО «Микрофинансовая организация «Finbox»  [33] (c7ea58fc-03ee-4831-8523-4105f050fd2f)
2. ТОО «Микрофинансовая организация «Finbox»  [33] (4af423c5-3c6c-4701-b263-d32b92a893ca)
3. ТОО «Микрофинансовая организация «Finbox»  [33] (99da55db-2516-4284-9766-0924ff68b6a8)
4. ТОО «Микрофинансовая Организация «MOST» [33] (4b26dc77-d9c7-489c-b375-2c7b7f5de62e)
5. ТОО «Микрофинансовая организация ФРИДОМ ФИНАНС Кредит» [33] (ee88c6d0-e1ea-4846-b6fb-3170a48358ea)</x:v>
      </x:c>
      <x:c r="M62" s="32" t="str">
        <x:v>partner differs: existing 4cb72e5f-7375-4278-bd38-b29a7e4a197c vs Сауле Бадамбаева</x:v>
      </x:c>
      <x:c r="N62" s="32" t="str"/>
      <x:c r="O62" s="32" t="str">
        <x:v>Сауле Бадамбаева [partner]
Жаркымбекова Камиля [assistant_1]</x:v>
      </x:c>
      <x:c r="P62" s="33" t="b">
        <x:v>0</x:v>
      </x:c>
      <x:c r="Q62" s="32" t="str">
        <x:v>needs_project_match</x:v>
      </x:c>
      <x:c r="R62" s="32" t="str">
        <x:v>choose_existing_project</x:v>
      </x:c>
      <x:c r="S62" s="32" t="str"/>
      <x:c r="T62" s="32" t="str"/>
      <x:c r="U62" s="32" t="str"/>
    </x:row>
    <x:row r="63" ht="42" customHeight="1">
      <x:c r="A63" s="32" t="str">
        <x:v>4 кв проекты 2024 rbi.xlsx::проекты 4 кв 2024::8</x:v>
      </x:c>
      <x:c r="B63" s="32" t="str">
        <x:v>4 кв Проекты 2024_RBI.xlsx</x:v>
      </x:c>
      <x:c r="C63" s="32" t="str">
        <x:v>Проекты 4 кв 2024 </x:v>
      </x:c>
      <x:c r="D63" s="32" t="n">
        <x:v>8</x:v>
      </x:c>
      <x:c r="E63" s="32" t="str">
        <x:v>ТОО Kone Kazakhstan</x:v>
      </x:c>
      <x:c r="F63" s="32" t="str"/>
      <x:c r="G63" s="32" t="str"/>
      <x:c r="H63" s="32" t="str">
        <x:v>conflict</x:v>
      </x:c>
      <x:c r="I63" s="32" t="str">
        <x:v>ТОО KONE Kazakhstan LLP</x:v>
      </x:c>
      <x:c r="J63" s="32" t="n">
        <x:v>135</x:v>
      </x:c>
      <x:c r="K63" s="32" t="str">
        <x:v>conflict</x:v>
      </x:c>
      <x:c r="L63" s="32" t="str">
        <x:v>1. ТОО ««KONE KAZAKHSTAN» (КОНЕ КАЗАХСТАН) - 1.1.	Заказчик поручает и оплачивает, а Исполнитель принимает на себя обязательство по оказанию Заказчику:
1.1.1. услуг по проведению аудита финансовой отчетности за период с 01 января по 31 декабря 2025 года;
1.1.2. услуг по проведению аудита налоговой отчетности за период с 01 января по 31 декабря 2025 года 
 [135] (cd306c54-a258-4d84-9268-6f9f53b490dd)
2. ТОО KONE KAZAKHSTAN (КОНЕ КАЗАХСТАН) - услуги по проведению инвентаризации запасов и основных средств офиса Заказчика в г. Алматы;
 [135] (0cd36fb4-e3e5-44fe-8d44-0e3b15a89336)
3. ТОО KONE Kazakhstan LLP [135] (57a7b9f2-a45f-40e1-98d8-7340092813c5)
4. ТОО KONE Kazakhstan LLP [135] (ebcf4d29-4b7d-4fc7-afc7-e13c978b70da)
5. «Berkut Mining» (Беркут Майнинг) (группа компаний АО Lancaster Group Kazakhstan) [25] (962f3649-f91b-4af2-87d2-7da045e6dda7)</x:v>
      </x:c>
      <x:c r="M63" s="32" t="str"/>
      <x:c r="N63" s="32" t="str"/>
      <x:c r="O63" s="32" t="str"/>
      <x:c r="P63" s="33" t="b">
        <x:v>0</x:v>
      </x:c>
      <x:c r="Q63" s="32" t="str">
        <x:v>needs_project_match</x:v>
      </x:c>
      <x:c r="R63" s="32" t="str">
        <x:v>choose_existing_project</x:v>
      </x:c>
      <x:c r="S63" s="32" t="str"/>
      <x:c r="T63" s="32" t="str"/>
      <x:c r="U63" s="32" t="str"/>
    </x:row>
    <x:row r="64" ht="42" customHeight="1">
      <x:c r="A64" s="32" t="str">
        <x:v>4 кв проекты 2024 rbi.xlsx::налоги 2024 4 кв::2</x:v>
      </x:c>
      <x:c r="B64" s="32" t="str">
        <x:v>4 кв Проекты 2024_RBI.xlsx</x:v>
      </x:c>
      <x:c r="C64" s="32" t="str">
        <x:v>налоги 2024 4 кв</x:v>
      </x:c>
      <x:c r="D64" s="32" t="n">
        <x:v>2</x:v>
      </x:c>
      <x:c r="E64" s="32" t="str">
        <x:v>Kone Kazakhstan</x:v>
      </x:c>
      <x:c r="F64" s="32" t="str"/>
      <x:c r="G64" s="32" t="str"/>
      <x:c r="H64" s="32" t="str">
        <x:v>conflict</x:v>
      </x:c>
      <x:c r="I64" s="32" t="str">
        <x:v>ТОО KONE Kazakhstan LLP</x:v>
      </x:c>
      <x:c r="J64" s="32" t="n">
        <x:v>135</x:v>
      </x:c>
      <x:c r="K64" s="32" t="str">
        <x:v>conflict</x:v>
      </x:c>
      <x:c r="L64" s="32" t="str">
        <x:v>1. ТОО ««KONE KAZAKHSTAN» (КОНЕ КАЗАХСТАН) - 1.1.	Заказчик поручает и оплачивает, а Исполнитель принимает на себя обязательство по оказанию Заказчику:
1.1.1. услуг по проведению аудита финансовой отчетности за период с 01 января по 31 декабря 2025 года;
1.1.2. услуг по проведению аудита налоговой отчетности за период с 01 января по 31 декабря 2025 года 
 [135] (cd306c54-a258-4d84-9268-6f9f53b490dd)
2. ТОО KONE KAZAKHSTAN (КОНЕ КАЗАХСТАН) - услуги по проведению инвентаризации запасов и основных средств офиса Заказчика в г. Алматы;
 [135] (0cd36fb4-e3e5-44fe-8d44-0e3b15a89336)
3. ТОО KONE Kazakhstan LLP [135] (57a7b9f2-a45f-40e1-98d8-7340092813c5)
4. ТОО KONE Kazakhstan LLP [135] (ebcf4d29-4b7d-4fc7-afc7-e13c978b70da)
5. «Berkut Mining» (Беркут Майнинг) (группа компаний АО Lancaster Group Kazakhstan) [25] (962f3649-f91b-4af2-87d2-7da045e6dda7)</x:v>
      </x:c>
      <x:c r="M64" s="32" t="str"/>
      <x:c r="N64" s="32" t="str"/>
      <x:c r="O64" s="32" t="str"/>
      <x:c r="P64" s="33" t="b">
        <x:v>0</x:v>
      </x:c>
      <x:c r="Q64" s="32" t="str">
        <x:v>needs_project_match</x:v>
      </x:c>
      <x:c r="R64" s="32" t="str">
        <x:v>choose_existing_project</x:v>
      </x:c>
      <x:c r="S64" s="32" t="str"/>
      <x:c r="T64" s="32" t="str"/>
      <x:c r="U64" s="32" t="str"/>
    </x:row>
    <x:row r="65" ht="42" customHeight="1">
      <x:c r="A65" s="32" t="str">
        <x:v>гульмира аудит фо 2025 2026 проекты.xlsx::главный::3</x:v>
      </x:c>
      <x:c r="B65" s="32" t="str">
        <x:v>Гульмира_Аудит ФО 2025-2026_Проекты.xlsx</x:v>
      </x:c>
      <x:c r="C65" s="32" t="str">
        <x:v>Главный</x:v>
      </x:c>
      <x:c r="D65" s="32" t="n">
        <x:v>3</x:v>
      </x:c>
      <x:c r="E65" s="32" t="str">
        <x:v>АО "Инвестиционный фонд Казахстана"</x:v>
      </x:c>
      <x:c r="F65" s="32" t="str">
        <x:v>аудит КФО и ОФО 2025</x:v>
      </x:c>
      <x:c r="G65" s="32" t="str">
        <x:v>ТОО "Anderson Qazaqstan"</x:v>
      </x:c>
      <x:c r="H65" s="32" t="str">
        <x:v>conflict</x:v>
      </x:c>
      <x:c r="I65" s="32" t="str">
        <x:v>АО «Акционерный инвестиционный фонд недвижимости «TG AL-Farabi» от Тримовой Сауле</x:v>
      </x:c>
      <x:c r="J65" s="32" t="n">
        <x:v>97</x:v>
      </x:c>
      <x:c r="K65" s="32" t="str">
        <x:v>not_found</x:v>
      </x:c>
      <x:c r="L65" s="32" t="str">
        <x:v>1. АО «Акционерный инвестиционный фонд недвижимости «TG AL-Farabi» от Тримовой Сауле [45] (44929955-29b6-4407-b935-e71be44d7d0e)
2. АО «Акционерный инвестиционный фонд рискового инвестирования «TG MED» от Тримовой Сауле [45] (0a22ced6-daec-40ec-82ef-b9ad21d0eba6)
3. АО «Национальные информационные технологии» - на безвозмездное оказание аудиторских услуг - услуг по проведению аудита отдельной и консолидированной финансовой отчетности Акционерного общества «Национальные информационные технологии», заканчивающийся 31.12.2025 года, подготовленной в соответствии с Международными Стандартами Финансовой Отчетности, для предоставления и размещения на фондовой бирже KASE.KZ и не используется для иных целей, в том числе для бухгалтерского и налогового учета Заказчика  [31] (905166ec-326e-4e60-9273-fce0d09191f7)
4. Евразийский фонд стабилизации и развития - аудит финансовой отчетности специального назначения по Проекту «Строительство и материально-техническое оснащение общеобразовательных учреждений в Кыргызской Республике» по состоянию на 31 декабря 2025 года [31] (87e9a80a-18f2-4301-b91b-3d993198cbc4)
5. Корпоративный фонд Zhyly Zhurek Foundation  - Предметом договора являются Услуги по проведению аудита финансовой отчетности за
деятельность Заказчика за период 12 месяцев 2025 года, подготовленной в соответствии с
Международными Стандартами Финансовой Отчетности (МСФО) с выдачей Отчета независимого
аудитора по аудиту годовой финансовой отчетности, на английском и русском языках, письма
руководству с замечаниями по результатам аудита.
2.2. Договор и приложения к нему утверждаются путем подписания через электронные порталы
Doculite/Documentolog. Исполнитель должен быть зарегистрирован на указанных порталах. [31] (064f1107-57c8-4fd4-a36c-2ec5b9d268f8)</x:v>
      </x:c>
      <x:c r="M65" s="32" t="str">
        <x:v>partner differs: existing 4cb72e5f-7375-4278-bd38-b29a7e4a197c vs Ержан Тумабеков
partner differs: existing 4cb72e5f-7375-4278-bd38-b29a7e4a197c vs Мухашев Куаныш Кудашулы</x:v>
      </x:c>
      <x:c r="N65" s="32" t="str"/>
      <x:c r="O65" s="32" t="str">
        <x:v>Ержан Тумабеков [partner]
Сейфуллина Гульмира Саятхановна [project_leader]
Мухашев Куаныш Кудашулы [partner]</x:v>
      </x:c>
      <x:c r="P65" s="33" t="b">
        <x:v>0</x:v>
      </x:c>
      <x:c r="Q65" s="32" t="str">
        <x:v>needs_project_match</x:v>
      </x:c>
      <x:c r="R65" s="32" t="str">
        <x:v>choose_existing_project</x:v>
      </x:c>
      <x:c r="S65" s="32" t="str"/>
      <x:c r="T65" s="32" t="str"/>
      <x:c r="U65" s="32" t="str"/>
    </x:row>
    <x:row r="66" ht="42" customHeight="1">
      <x:c r="A66" s="32" t="str">
        <x:v>гульмира аудит фо 2025 2026 проекты.xlsx::главный::9</x:v>
      </x:c>
      <x:c r="B66" s="32" t="str">
        <x:v>Гульмира_Аудит ФО 2025-2026_Проекты.xlsx</x:v>
      </x:c>
      <x:c r="C66" s="32" t="str">
        <x:v>Главный</x:v>
      </x:c>
      <x:c r="D66" s="32" t="n">
        <x:v>9</x:v>
      </x:c>
      <x:c r="E66" s="32" t="str">
        <x:v>ТОО "ЭлектроСтрой Монтаж" (Атырау)</x:v>
      </x:c>
      <x:c r="F66" s="32" t="str">
        <x:v>аудит ФО 2025</x:v>
      </x:c>
      <x:c r="G66" s="32" t="str">
        <x:v>ТОО МАК "RB Partners"</x:v>
      </x:c>
      <x:c r="H66" s="32" t="str">
        <x:v>conflict</x:v>
      </x:c>
      <x:c r="I66" s="32" t="str">
        <x:v>ТОО ЭлектроСтройМонтаж</x:v>
      </x:c>
      <x:c r="J66" s="32" t="n">
        <x:v>68</x:v>
      </x:c>
      <x:c r="K66" s="32" t="str">
        <x:v>not_found</x:v>
      </x:c>
      <x:c r="L66" s="32" t="str">
        <x:v>1. ТОО ЭлектроСтройМонтаж [33] (55622189-3858-4b66-b7aa-43d88acfd72c)
2. Товарищество с ограниченной ответственностью «БИНОМ АТЫРАУ» - услуг по проведению аудита специального назначения за период с 01 января по 31
декабря 2025 года, согласно Приложению № 1 к настоящему Договору [19] (a0f8ba1b-c71a-46b9-9cc7-251a43a01c20)</x:v>
      </x:c>
      <x:c r="M66" s="32" t="str"/>
      <x:c r="N66" s="32" t="str"/>
      <x:c r="O66" s="32" t="str">
        <x:v>Кудайбергенова Шолпанай [partner]
Сейфуллина Гульмира Саятхановна [project_leader]</x:v>
      </x:c>
      <x:c r="P66" s="33" t="b">
        <x:v>0</x:v>
      </x:c>
      <x:c r="Q66" s="32" t="str">
        <x:v>needs_project_match</x:v>
      </x:c>
      <x:c r="R66" s="32" t="str">
        <x:v>choose_existing_project</x:v>
      </x:c>
      <x:c r="S66" s="32" t="str"/>
      <x:c r="T66" s="32" t="str"/>
      <x:c r="U66" s="32" t="str"/>
    </x:row>
    <x:row r="67" ht="42" customHeight="1">
      <x:c r="A67" s="32" t="str">
        <x:v>гульмира аудит фо 2025 2026 проекты.xlsx::главный::12</x:v>
      </x:c>
      <x:c r="B67" s="32" t="str">
        <x:v>Гульмира_Аудит ФО 2025-2026_Проекты.xlsx</x:v>
      </x:c>
      <x:c r="C67" s="32" t="str">
        <x:v>Главный</x:v>
      </x:c>
      <x:c r="D67" s="32" t="n">
        <x:v>12</x:v>
      </x:c>
      <x:c r="E67" s="32" t="str">
        <x:v>ТОО "Нефтестройсервис" (Атырау)</x:v>
      </x:c>
      <x:c r="F67" s="32" t="str">
        <x:v>аудит ФО 2025</x:v>
      </x:c>
      <x:c r="G67" s="32" t="str">
        <x:v>ТОО МАК "RB Partners"</x:v>
      </x:c>
      <x:c r="H67" s="32" t="str">
        <x:v>conflict</x:v>
      </x:c>
      <x:c r="I67" s="32" t="str">
        <x:v>Товарищество с ограниченной ответственностью «БИНОМ АТЫРАУ» - услуг по проведению аудита специального назначения за период с 01 января по 31
декабря 2025 года, согласно Приложению № 1 к настоящему Договору</x:v>
      </x:c>
      <x:c r="J67" s="32" t="n">
        <x:v>72</x:v>
      </x:c>
      <x:c r="K67" s="32" t="str">
        <x:v>conflict</x:v>
      </x:c>
      <x:c r="L67" s="32" t="str">
        <x:v>1. Товарищество с ограниченной ответственностью «БИНОМ АТЫРАУ» - услуг по проведению аудита специального назначения за период с 01 января по 31
декабря 2025 года, согласно Приложению № 1 к настоящему Договору [72] (a0f8ba1b-c71a-46b9-9cc7-251a43a01c20)
2. ТОО Нефтестройсервис ЛТД [25] (bfb5e910-ff64-4369-8c9a-c478cc2f4b50)</x:v>
      </x:c>
      <x:c r="M67" s="32" t="str"/>
      <x:c r="N67" s="32" t="str"/>
      <x:c r="O67" s="32" t="str">
        <x:v>Кудайбергенова Шолпанай [partner]
Сейфуллина Гульмира Саятхановна [project_leader]</x:v>
      </x:c>
      <x:c r="P67" s="33" t="b">
        <x:v>0</x:v>
      </x:c>
      <x:c r="Q67" s="32" t="str">
        <x:v>needs_project_match</x:v>
      </x:c>
      <x:c r="R67" s="32" t="str">
        <x:v>choose_existing_project</x:v>
      </x:c>
      <x:c r="S67" s="32" t="str"/>
      <x:c r="T67" s="32" t="str"/>
      <x:c r="U67" s="32" t="str"/>
    </x:row>
    <x:row r="68" ht="42" customHeight="1">
      <x:c r="A68" s="32" t="str">
        <x:v>гульмира аудит фо 2025 2026 проекты.xlsx::главный::13</x:v>
      </x:c>
      <x:c r="B68" s="32" t="str">
        <x:v>Гульмира_Аудит ФО 2025-2026_Проекты.xlsx</x:v>
      </x:c>
      <x:c r="C68" s="32" t="str">
        <x:v>Главный</x:v>
      </x:c>
      <x:c r="D68" s="32" t="n">
        <x:v>13</x:v>
      </x:c>
      <x:c r="E68" s="32" t="str">
        <x:v>ТОО "Инжтехсервис" (Атырау)</x:v>
      </x:c>
      <x:c r="F68" s="32" t="str">
        <x:v>аудит ФО 2025</x:v>
      </x:c>
      <x:c r="G68" s="32" t="str">
        <x:v>ТОО МАК "RB Partners"</x:v>
      </x:c>
      <x:c r="H68" s="32" t="str">
        <x:v>conflict</x:v>
      </x:c>
      <x:c r="I68" s="32" t="str">
        <x:v>Товарищество с ограниченной ответственностью «БИНОМ АТЫРАУ» - услуг по проведению аудита специального назначения за период с 01 января по 31
декабря 2025 года, согласно Приложению № 1 к настоящему Договору</x:v>
      </x:c>
      <x:c r="J68" s="32" t="n">
        <x:v>72</x:v>
      </x:c>
      <x:c r="K68" s="32" t="str">
        <x:v>conflict</x:v>
      </x:c>
      <x:c r="L68" s="32" t="str">
        <x:v>1. Товарищество с ограниченной ответственностью «БИНОМ АТЫРАУ» - услуг по проведению аудита специального назначения за период с 01 января по 31
декабря 2025 года, согласно Приложению № 1 к настоящему Договору [72] (a0f8ba1b-c71a-46b9-9cc7-251a43a01c20)</x:v>
      </x:c>
      <x:c r="M68" s="32" t="str"/>
      <x:c r="N68" s="32" t="str"/>
      <x:c r="O68" s="32" t="str">
        <x:v>Кудайбергенова Шолпанай [partner]
Сейфуллина Гульмира Саятхановна [project_leader]</x:v>
      </x:c>
      <x:c r="P68" s="33" t="b">
        <x:v>0</x:v>
      </x:c>
      <x:c r="Q68" s="32" t="str">
        <x:v>needs_project_match</x:v>
      </x:c>
      <x:c r="R68" s="32" t="str">
        <x:v>choose_existing_project</x:v>
      </x:c>
      <x:c r="S68" s="32" t="str"/>
      <x:c r="T68" s="32" t="str"/>
      <x:c r="U68" s="32" t="str"/>
    </x:row>
    <x:row r="69" ht="42" customHeight="1">
      <x:c r="A69" s="32" t="str">
        <x:v>гульмира аудит фо 2025 2026 проекты.xlsx::главный::20</x:v>
      </x:c>
      <x:c r="B69" s="32" t="str">
        <x:v>Гульмира_Аудит ФО 2025-2026_Проекты.xlsx</x:v>
      </x:c>
      <x:c r="C69" s="32" t="str">
        <x:v>Главный</x:v>
      </x:c>
      <x:c r="D69" s="32" t="n">
        <x:v>20</x:v>
      </x:c>
      <x:c r="E69" s="32" t="str">
        <x:v>ТОО "Коксуский сахарный завод" + 8 компаний Группы</x:v>
      </x:c>
      <x:c r="F69" s="32" t="str">
        <x:v>аудит ФО 2026</x:v>
      </x:c>
      <x:c r="G69" s="32" t="str">
        <x:v>ТОО МАК "RB Partners"</x:v>
      </x:c>
      <x:c r="H69" s="32" t="str">
        <x:v>conflict</x:v>
      </x:c>
      <x:c r="I69" s="32" t="str">
        <x:v>Филиал компании «Мангистау Пауэр Б.В.»  - 1.1.	Заказчик поручает и оплачивает, а Исполнитель принимает на себя обязательство по оказанию Заказчику:
1.1.1. Аудит финансовой отчетности за год, закончившийся 31 декабря 2025 года, в соответствии с местными стандартами;
1.1.2. Выполнение указаний аудиторов Группы </x:v>
      </x:c>
      <x:c r="J69" s="32" t="n">
        <x:v>79</x:v>
      </x:c>
      <x:c r="K69" s="32" t="str">
        <x:v>exact</x:v>
      </x:c>
      <x:c r="L69" s="32" t="str">
        <x:v>1. ТОО «Коксуский сахарный завод» [115] (1e186042-ed87-4a1d-b891-a6d502175071)
2. АО Костанайские минералы - Аудит консолидированной финансовой отчетности  группы АО «Костанайские минералы" за 2026 год, подготовленной в соответствии с международными стандартами финансовой отчетности    [24] (4b95571d-867b-45da-a804-7bcb17f667b6)
3. ТОО Коксуский сахарный завод  - услуг по проведению аудита финансовой отчетности за период с 1 января 2025 года по 31 декабря 2025 года  [9] (ef7bff7b-9f43-4e25-a502-97a6cd718b97)</x:v>
      </x:c>
      <x:c r="M69" s="32" t="str">
        <x:v>partner differs: existing 3ceb66d6-1ecf-4ab2-8a98-aa2436b9d0fd vs Арнабеков Ерлан</x:v>
      </x:c>
      <x:c r="N69" s="32" t="str">
        <x:v>Арнабекова Гулшат [manager_1]
Бекжанов Бақытжан Абылқасымұлы [supervisor_1]
Zabira Yerlankyzy [supervisor_1]
Ушурбакиева Рошангуль [assistant_1]
Пономарёв Юрий Максимович [assistant_1]
Арнабеков Ерлан [partner]
Сейфуллина Гульмира Саятхановна [project_leader]
Чалова Гульжан [manager_1]
Сагадат Марат [assistant_1]
Ермек Лебеков [assistant_1]</x:v>
      </x:c>
      <x:c r="O69" s="32" t="str">
        <x:v>Арнабеков Ерлан [partner]
Сейфуллина Гульмира Саятхановна [project_leader]</x:v>
      </x:c>
      <x:c r="P69" s="33" t="b">
        <x:v>1</x:v>
      </x:c>
      <x:c r="Q69" s="32" t="str">
        <x:v>needs_project_match</x:v>
      </x:c>
      <x:c r="R69" s="32" t="str">
        <x:v>choose_existing_project</x:v>
      </x:c>
      <x:c r="S69" s="32" t="str"/>
      <x:c r="T69" s="32" t="str"/>
      <x:c r="U69" s="32" t="str"/>
    </x:row>
    <x:row r="70" ht="42" customHeight="1">
      <x:c r="A70" s="32" t="str">
        <x:v>сейфулина проекты октябрь 2024 октябрь 2025.xlsx::anderson::6</x:v>
      </x:c>
      <x:c r="B70" s="32" t="str">
        <x:v>Сейфулина_Проекты октябрь 2024-октябрь 2025.xlsx</x:v>
      </x:c>
      <x:c r="C70" s="32" t="str">
        <x:v>Anderson</x:v>
      </x:c>
      <x:c r="D70" s="32" t="n">
        <x:v>6</x:v>
      </x:c>
      <x:c r="E70" s="32" t="str">
        <x:v>АО "Инвестиционный фонд Казахстана"</x:v>
      </x:c>
      <x:c r="F70" s="32" t="str">
        <x:v>Аудит ФО за 2023 и 2024 гг. (КФО и ОФО)</x:v>
      </x:c>
      <x:c r="G70" s="32" t="str"/>
      <x:c r="H70" s="32" t="str">
        <x:v>conflict</x:v>
      </x:c>
      <x:c r="I70" s="32" t="str">
        <x:v>АО «Акционерный инвестиционный фонд недвижимости «TG AL-Farabi» от Тримовой Сауле</x:v>
      </x:c>
      <x:c r="J70" s="32" t="n">
        <x:v>97</x:v>
      </x:c>
      <x:c r="K70" s="32" t="str">
        <x:v>not_found</x:v>
      </x:c>
      <x:c r="L70" s="32" t="str">
        <x:v>1. АО «Акционерный инвестиционный фонд недвижимости «TG AL-Farabi» от Тримовой Сауле [45] (44929955-29b6-4407-b935-e71be44d7d0e)
2. АО «Акционерный инвестиционный фонд рискового инвестирования «TG MED» от Тримовой Сауле [45] (0a22ced6-daec-40ec-82ef-b9ad21d0eba6)
3. АО «Национальные информационные технологии» - на безвозмездное оказание аудиторских услуг - услуг по проведению аудита отдельной и консолидированной финансовой отчетности Акционерного общества «Национальные информационные технологии», заканчивающийся 31.12.2025 года, подготовленной в соответствии с Международными Стандартами Финансовой Отчетности, для предоставления и размещения на фондовой бирже KASE.KZ и не используется для иных целей, в том числе для бухгалтерского и налогового учета Заказчика  [31] (905166ec-326e-4e60-9273-fce0d09191f7)
4. Евразийский фонд стабилизации и развития - аудит финансовой отчетности специального назначения по Проекту «Строительство и материально-техническое оснащение общеобразовательных учреждений в Кыргызской Республике» по состоянию на 31 декабря 2025 года [31] (87e9a80a-18f2-4301-b91b-3d993198cbc4)
5. Корпоративный фонд Zhyly Zhurek Foundation  - Предметом договора являются Услуги по проведению аудита финансовой отчетности за
деятельность Заказчика за период 12 месяцев 2025 года, подготовленной в соответствии с
Международными Стандартами Финансовой Отчетности (МСФО) с выдачей Отчета независимого
аудитора по аудиту годовой финансовой отчетности, на английском и русском языках, письма
руководству с замечаниями по результатам аудита.
2.2. Договор и приложения к нему утверждаются путем подписания через электронные порталы
Doculite/Documentolog. Исполнитель должен быть зарегистрирован на указанных порталах. [31] (064f1107-57c8-4fd4-a36c-2ec5b9d268f8)</x:v>
      </x:c>
      <x:c r="M70" s="32" t="str">
        <x:v>partner differs: existing 4cb72e5f-7375-4278-bd38-b29a7e4a197c vs Ержан Тумабеков
partner differs: existing 4cb72e5f-7375-4278-bd38-b29a7e4a197c vs Мухашев Куаныш Кудашулы</x:v>
      </x:c>
      <x:c r="N70" s="32" t="str"/>
      <x:c r="O70" s="32" t="str">
        <x:v>Ержан Тумабеков [partner]
Сейфуллина Гульмира Саятхановна [project_leader]
Мухашев Куаныш Кудашулы [partner]
Арнабекова Гулшат [manager_1]
Чалова Гульжан [manager_1]
Ермек Лебеков [assistant_1]</x:v>
      </x:c>
      <x:c r="P70" s="33" t="b">
        <x:v>0</x:v>
      </x:c>
      <x:c r="Q70" s="32" t="str">
        <x:v>needs_project_match</x:v>
      </x:c>
      <x:c r="R70" s="32" t="str">
        <x:v>choose_existing_project</x:v>
      </x:c>
      <x:c r="S70" s="32" t="str"/>
      <x:c r="T70" s="32" t="str"/>
      <x:c r="U70" s="32" t="str"/>
    </x:row>
  </x:sheetData>
  <x:mergeCells>
    <x:mergeCell ref="A1:U1"/>
    <x:mergeCell ref="A2:U2"/>
  </x:mergeCells>
  <x:conditionalFormatting sqref="Q5:Q70">
    <x:cfRule type="containsText" dxfId="0" priority="1" operator="containsText" text="confirmed"/>
    <x:cfRule type="containsText" dxfId="1" priority="2" operator="containsText" text="conflict"/>
    <x:cfRule type="containsText" dxfId="2" priority="3" operator="containsText" text="needs"/>
    <x:cfRule type="containsText" dxfId="3" priority="4" operator="containsText" text="mismatch"/>
  </x:conditionalFormatting>
  <x:conditionalFormatting sqref="S5:S70">
    <x:cfRule type="containsBlanks" dxfId="4" priority="5"/>
  </x:conditionalFormatting>
  <x:dataValidations count="1">
    <x:dataValidation type="list" sqref="S5:S70">
      <x:formula1>"use_existing_project,create_new_project,keep_live_team,apply_excel_team,merge_team_manually,keep_external,skip"</x:formula1>
    </x:dataValidation>
  </x:dataValidations>
  <x:pageMargins left="0.7" right="0.7" top="0.75" bottom="0.75" header="0.3" footer="0.3"/>
  <x:tableParts count="1">
    <x:tablePart xmlns:r="http://schemas.openxmlformats.org/officeDocument/2006/relationships" r:id="R8f47f138e91042e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20" hidden="0" customWidth="1"/>
    <x:col min="4" max="4" width="8" hidden="0" customWidth="1"/>
    <x:col min="5" max="5" width="28" hidden="0" customWidth="1"/>
    <x:col min="6" max="6" width="20" hidden="0" customWidth="1"/>
    <x:col min="7" max="7" width="22" hidden="0" customWidth="1"/>
    <x:col min="8" max="8" width="13" hidden="0" customWidth="1"/>
    <x:col min="9" max="9" width="32" hidden="0" customWidth="1"/>
    <x:col min="10" max="10" width="10" hidden="0" customWidth="1"/>
    <x:col min="11" max="11" width="13" hidden="0" customWidth="1"/>
    <x:col min="12" max="12" width="50" hidden="0" customWidth="1"/>
    <x:col min="13" max="13" width="40" hidden="0" customWidth="1"/>
    <x:col min="14" max="14" width="38" hidden="0" customWidth="1"/>
    <x:col min="15" max="15" width="38" hidden="0" customWidth="1"/>
    <x:col min="16" max="16" width="12" hidden="0" customWidth="1"/>
    <x:col min="17" max="17" width="22" hidden="0" customWidth="1"/>
    <x:col min="18" max="18" width="26" hidden="0" customWidth="1"/>
    <x:col min="19" max="19" width="24" hidden="0" customWidth="1"/>
    <x:col min="20" max="20" width="32" hidden="0" customWidth="1"/>
    <x:col min="21" max="21" width="36" hidden="0" customWidth="1"/>
  </x:cols>
  <x:sheetData>
    <x:row r="1" ht="30" customHeight="1">
      <x:c r="A1" s="3" t="str">
        <x:v>RBI — конфликты команд</x:v>
      </x:c>
      <x:c r="B1" s="3"/>
      <x:c r="C1" s="3"/>
      <x:c r="D1" s="3"/>
      <x:c r="E1" s="3"/>
      <x:c r="F1" s="3"/>
      <x:c r="G1" s="3"/>
      <x:c r="H1" s="3"/>
      <x:c r="I1" s="3"/>
      <x:c r="J1" s="3"/>
      <x:c r="K1" s="3"/>
      <x:c r="L1" s="3"/>
      <x:c r="M1" s="3"/>
      <x:c r="N1" s="3"/>
      <x:c r="O1" s="3"/>
      <x:c r="P1" s="3"/>
      <x:c r="Q1" s="3"/>
      <x:c r="R1" s="3"/>
      <x:c r="S1" s="3"/>
      <x:c r="T1" s="3"/>
      <x:c r="U1" s="3"/>
    </x:row>
    <x:row r="2" ht="30" customHeight="1">
      <x:c r="A2" s="7" t="str">
        <x:v>72 строк; 15 также присутствуют в match-conflict наборе. Сравниваются live- и Excel-команды.</x:v>
      </x:c>
      <x:c r="B2" s="7"/>
      <x:c r="C2" s="7"/>
      <x:c r="D2" s="7"/>
      <x:c r="E2" s="7"/>
      <x:c r="F2" s="7"/>
      <x:c r="G2" s="7"/>
      <x:c r="H2" s="7"/>
      <x:c r="I2" s="7"/>
      <x:c r="J2" s="7"/>
      <x:c r="K2" s="7"/>
      <x:c r="L2" s="7"/>
      <x:c r="M2" s="7"/>
      <x:c r="N2" s="7"/>
      <x:c r="O2" s="7"/>
      <x:c r="P2" s="7"/>
      <x:c r="Q2" s="7"/>
      <x:c r="R2" s="7"/>
      <x:c r="S2" s="7"/>
      <x:c r="T2" s="7"/>
      <x:c r="U2" s="7"/>
    </x:row>
    <x:row r="4" ht="34" customHeight="1">
      <x:c r="A4" s="17" t="str">
        <x:v>Source Key</x:v>
      </x:c>
      <x:c r="B4" s="18" t="str">
        <x:v>File</x:v>
      </x:c>
      <x:c r="C4" s="18" t="str">
        <x:v>Sheet</x:v>
      </x:c>
      <x:c r="D4" s="18" t="str">
        <x:v>Row</x:v>
      </x:c>
      <x:c r="E4" s="18" t="str">
        <x:v>Client</x:v>
      </x:c>
      <x:c r="F4" s="18" t="str">
        <x:v>Audit Type</x:v>
      </x:c>
      <x:c r="G4" s="18" t="str">
        <x:v>Company</x:v>
      </x:c>
      <x:c r="H4" s="18" t="str">
        <x:v>Old Match</x:v>
      </x:c>
      <x:c r="I4" s="18" t="str">
        <x:v>Old Best Project</x:v>
      </x:c>
      <x:c r="J4" s="18" t="str">
        <x:v>Old Score</x:v>
      </x:c>
      <x:c r="K4" s="18" t="str">
        <x:v>Current Match</x:v>
      </x:c>
      <x:c r="L4" s="18" t="str">
        <x:v>Current Candidates</x:v>
      </x:c>
      <x:c r="M4" s="18" t="str">
        <x:v>Conflicts</x:v>
      </x:c>
      <x:c r="N4" s="18" t="str">
        <x:v>Live Team</x:v>
      </x:c>
      <x:c r="O4" s="18" t="str">
        <x:v>Excel Team</x:v>
      </x:c>
      <x:c r="P4" s="18" t="str">
        <x:v>Live RBI Marker</x:v>
      </x:c>
      <x:c r="Q4" s="18" t="str">
        <x:v>Status</x:v>
      </x:c>
      <x:c r="R4" s="18" t="str">
        <x:v>Recommendation</x:v>
      </x:c>
      <x:c r="S4" s="18" t="str">
        <x:v>Decision</x:v>
      </x:c>
      <x:c r="T4" s="18" t="str">
        <x:v>Approved Project ID</x:v>
      </x:c>
      <x:c r="U4" s="19" t="str">
        <x:v>Review Comment</x:v>
      </x:c>
    </x:row>
    <x:row r="5" ht="42" customHeight="1">
      <x:c r="A5" s="30" t="str">
        <x:v>1 кв проекты 2024 rbi.xlsx::проекты 1 кв 2024::19</x:v>
      </x:c>
      <x:c r="B5" s="30" t="str">
        <x:v>1 кв Проекты 2024_RBI.xlsx</x:v>
      </x:c>
      <x:c r="C5" s="30" t="str">
        <x:v>Проекты 1 кв 2024</x:v>
      </x:c>
      <x:c r="D5" s="30" t="n">
        <x:v>19</x:v>
      </x:c>
      <x:c r="E5" s="30" t="str">
        <x:v>ЧК Ellinton Group KAZ ltd</x:v>
      </x:c>
      <x:c r="F5" s="30" t="str">
        <x:v>Аудит ФО</x:v>
      </x:c>
      <x:c r="G5" s="30" t="str">
        <x:v>PE Russell Bedford A+ Partners</x:v>
      </x:c>
      <x:c r="H5" s="30" t="str">
        <x:v>conflict</x:v>
      </x:c>
      <x:c r="I5" s="30" t="str">
        <x:v>ТОО KAZ Intel Group</x:v>
      </x:c>
      <x:c r="J5" s="30" t="n">
        <x:v>68</x:v>
      </x:c>
      <x:c r="K5" s="30" t="str">
        <x:v>not_found</x:v>
      </x:c>
      <x:c r="L5" s="30" t="str">
        <x:v>1. «Berkut Mining» (Беркут Майнинг) (группа компаний АО Lancaster Group Kazakhstan) [33] (962f3649-f91b-4af2-87d2-7da045e6dda7)
2. АО Lancaster Group Kazakhstan [33] (3b22dd3f-37d0-40ec-8485-ce3b9b72c21f)
3. ТОО KAZ Intel Group [33] (ffdd44e0-a99d-4c1f-bd34-0ecc95b6ef5b)
4. Частная компания «Ellington Group KAZ» Ltd [33] (9498c171-2efb-4a0c-be5d-c58a3a2adcea)
5. Частная компания «Ellington Group KAZ» Ltd [33] (0555ddc6-5a21-4500-96e7-e30ab96c7cd2)</x:v>
      </x:c>
      <x:c r="M5" s="30" t="str">
        <x:v>partner differs: existing 4cb72e5f-7375-4278-bd38-b29a7e4a197c vs Шынгыс Сартаев</x:v>
      </x:c>
      <x:c r="N5" s="30" t="str"/>
      <x:c r="O5" s="30" t="str">
        <x:v>Шынгыс Сартаев [partner]
Медекенов Марат Макунович [manager_1]
Акулпа Исахан [assistant_1]</x:v>
      </x:c>
      <x:c r="P5" s="31" t="b">
        <x:v>0</x:v>
      </x:c>
      <x:c r="Q5" s="30" t="str">
        <x:v>needs_project_match</x:v>
      </x:c>
      <x:c r="R5" s="30" t="str">
        <x:v>choose_existing_project</x:v>
      </x:c>
      <x:c r="S5" s="30" t="str"/>
      <x:c r="T5" s="30" t="str"/>
      <x:c r="U5" s="30" t="str"/>
    </x:row>
    <x:row r="6" ht="42" customHeight="1">
      <x:c r="A6" s="32" t="str">
        <x:v>1 кв проекты 2024 rbi.xlsx::проекты 1 кв 2024::22</x:v>
      </x:c>
      <x:c r="B6" s="32" t="str">
        <x:v>1 кв Проекты 2024_RBI.xlsx</x:v>
      </x:c>
      <x:c r="C6" s="32" t="str">
        <x:v>Проекты 1 кв 2024</x:v>
      </x:c>
      <x:c r="D6" s="32" t="n">
        <x:v>22</x:v>
      </x:c>
      <x:c r="E6" s="32" t="str">
        <x:v>FinQ</x:v>
      </x:c>
      <x:c r="F6" s="32" t="str">
        <x:v>Аудит ФО</x:v>
      </x:c>
      <x:c r="G6" s="32" t="str">
        <x:v>IAC Russell Bedford A+ Partners LLP</x:v>
      </x:c>
      <x:c r="H6" s="32" t="str">
        <x:v>exact</x:v>
      </x:c>
      <x:c r="I6" s="32" t="str">
        <x:v>ТОО «FinQ»</x:v>
      </x:c>
      <x:c r="J6" s="32" t="n">
        <x:v>170</x:v>
      </x:c>
      <x:c r="K6" s="32" t="str">
        <x:v>exact</x:v>
      </x:c>
      <x:c r="L6" s="32" t="str">
        <x:v>1. ТОО «FinQ» [135] (ef206b96-b160-4367-aada-e19e361040e1)</x:v>
      </x:c>
      <x:c r="M6" s="32" t="str">
        <x:v>partner differs: existing ba3d0a39-e789-4eed-8890-64dca41dbdd9 vs Кенжекулов Адилжан Абдикалыкович</x:v>
      </x:c>
      <x:c r="N6" s="32" t="str">
        <x:v>Сауле Бадамбаева [partner]
Zabira Yerlankyzy [supervisor_1]
Нускабаева Райхан [manager_1]
Кенжебек Мая Тельманкызы [manager_1]
Қасымбек Тинай Асқарқызы [assistant_1]</x:v>
      </x:c>
      <x:c r="O6" s="32" t="str">
        <x:v>Кенжекулов Адилжан Абдикалыкович [partner]
Сауле Тримова [assistant_1]</x:v>
      </x:c>
      <x:c r="P6" s="33" t="b">
        <x:v>1</x:v>
      </x:c>
      <x:c r="Q6" s="32" t="str">
        <x:v>team_conflict</x:v>
      </x:c>
      <x:c r="R6" s="32" t="str">
        <x:v>merge_team_manually</x:v>
      </x:c>
      <x:c r="S6" s="32" t="str"/>
      <x:c r="T6" s="32" t="str"/>
      <x:c r="U6" s="32" t="str"/>
    </x:row>
    <x:row r="7" ht="42" customHeight="1">
      <x:c r="A7" s="32" t="str">
        <x:v>1 кв проекты 2024 rbi.xlsx::проекты 1 кв 2024::34</x:v>
      </x:c>
      <x:c r="B7" s="32" t="str">
        <x:v>1 кв Проекты 2024_RBI.xlsx</x:v>
      </x:c>
      <x:c r="C7" s="32" t="str">
        <x:v>Проекты 1 кв 2024</x:v>
      </x:c>
      <x:c r="D7" s="32" t="n">
        <x:v>34</x:v>
      </x:c>
      <x:c r="E7" s="32" t="str">
        <x:v>Eurasian Development Bank</x:v>
      </x:c>
      <x:c r="F7" s="32" t="str">
        <x:v>Аудит ФО</x:v>
      </x:c>
      <x:c r="G7" s="32" t="str">
        <x:v>IAC Russell Bedford A+ Partners LLP</x:v>
      </x:c>
      <x:c r="H7" s="32" t="str">
        <x:v>probable</x:v>
      </x:c>
      <x:c r="I7" s="32" t="str">
        <x:v>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x:v>
      </x:c>
      <x:c r="J7" s="32" t="n">
        <x:v>84</x:v>
      </x:c>
      <x:c r="K7" s="32" t="str">
        <x:v>not_found</x:v>
      </x:c>
      <x:c r="L7" s="32" t="str">
        <x:v>1. 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 [31] (03813a13-459e-4d7f-ac17-8e2d050faccd)</x:v>
      </x:c>
      <x:c r="M7" s="32" t="str">
        <x:v>partner differs: existing c7fc625d-7836-4eed-90bb-b14541040f42 vs Жумадилов Бакыт</x:v>
      </x:c>
      <x:c r="N7" s="32" t="str"/>
      <x:c r="O7" s="32" t="str">
        <x:v>Жумадилов Бакыт [partner]
Хаирбеков Адиль [assistant_1]
Максутов Данияр [assistant_1]
Альдейб Камал [assistant_1]
Куптлеуова Альбина [assistant_1]</x:v>
      </x:c>
      <x:c r="P7" s="33" t="b">
        <x:v>0</x:v>
      </x:c>
      <x:c r="Q7" s="32" t="str">
        <x:v>team_conflict</x:v>
      </x:c>
      <x:c r="R7" s="32" t="str">
        <x:v>merge_team_manually</x:v>
      </x:c>
      <x:c r="S7" s="32" t="str"/>
      <x:c r="T7" s="32" t="str"/>
      <x:c r="U7" s="32" t="str"/>
    </x:row>
    <x:row r="8" ht="42" customHeight="1">
      <x:c r="A8" s="32" t="str">
        <x:v>1 кв проекты 2024 rbi.xlsx::проекты 1 кв 2024::43</x:v>
      </x:c>
      <x:c r="B8" s="32" t="str">
        <x:v>1 кв Проекты 2024_RBI.xlsx</x:v>
      </x:c>
      <x:c r="C8" s="32" t="str">
        <x:v>Проекты 1 кв 2024</x:v>
      </x:c>
      <x:c r="D8" s="32" t="n">
        <x:v>43</x:v>
      </x:c>
      <x:c r="E8" s="32" t="str">
        <x:v>ТОО Кен Курылыс Сервис</x:v>
      </x:c>
      <x:c r="F8" s="32" t="str">
        <x:v>Аудит ФО</x:v>
      </x:c>
      <x:c r="G8" s="32" t="str">
        <x:v>IAC Russell Bedford A+ Partners LLP</x:v>
      </x:c>
      <x:c r="H8" s="32" t="str">
        <x:v>exact</x:v>
      </x:c>
      <x:c r="I8" s="32" t="str">
        <x:v>ТОО Кен-Курылыс-Сервис (за период 2022-2024)</x:v>
      </x:c>
      <x:c r="J8" s="32" t="n">
        <x:v>170</x:v>
      </x:c>
      <x:c r="K8" s="32" t="str">
        <x:v>exact</x:v>
      </x:c>
      <x:c r="L8" s="32" t="str">
        <x:v>1. ТОО Кен-Курылыс-Сервис (за период 2022-2024) [170] (c32b354d-34c1-47bf-b6ea-f6049e5c9c69)
2. АО «КазМунайГаз-Сервис NS» (за период 2023-2025) [7] (30e2db17-0424-4e0f-8ce4-8ab91b68997f)
3. АО «КазМунайГаз-Сервис NS» (за период 2023-2025) [7] (efa2f844-9f2a-4012-b6dc-2b04eddb28d8)
4. АО «КазМунайГаз-Сервис NS» (за период 2023-2025) [7] (3ec6014d-1150-40d5-8489-d59ac8d4515d)
5. АО «КазМунайГаз-Сервис NS» (за период 2023-2025) [7] (93960cda-027a-4aea-903d-84d0858f79f6)</x:v>
      </x:c>
      <x:c r="M8" s="32" t="str">
        <x:v>partner differs: existing 4cb72e5f-7375-4278-bd38-b29a7e4a197c vs Сауле Бадамбаева</x:v>
      </x:c>
      <x:c r="N8" s="32" t="str">
        <x:v>Ажарбаев Самат [assistant_1]
Галымжанов Нурхан Нурланович [manager_3]
Жамбыл Ернур [assistant_1]
Идрисов Спандияр [assistant_1]
Нурулла Нугман [assistant_1]
Zabira Yerlankyzy [supervisor_1]
Идрисов Спандияр [tax_specialist_1]
Кенжекулов Адилжан Абдикалыкович [partner]
Галымжанов Нурхан Нурланович [project_leader]</x:v>
      </x:c>
      <x:c r="O8" s="32" t="str">
        <x:v>Сауле Бадамбаева [partner]</x:v>
      </x:c>
      <x:c r="P8" s="33" t="b">
        <x:v>1</x:v>
      </x:c>
      <x:c r="Q8" s="32" t="str">
        <x:v>team_conflict</x:v>
      </x:c>
      <x:c r="R8" s="32" t="str">
        <x:v>merge_team_manually</x:v>
      </x:c>
      <x:c r="S8" s="32" t="str"/>
      <x:c r="T8" s="32" t="str"/>
      <x:c r="U8" s="32" t="str"/>
    </x:row>
    <x:row r="9" ht="42" customHeight="1">
      <x:c r="A9" s="32" t="str">
        <x:v>1 кв проекты 2024 rbi.xlsx::проекты 1 кв 2024::45</x:v>
      </x:c>
      <x:c r="B9" s="32" t="str">
        <x:v>1 кв Проекты 2024_RBI.xlsx</x:v>
      </x:c>
      <x:c r="C9" s="32" t="str">
        <x:v>Проекты 1 кв 2024</x:v>
      </x:c>
      <x:c r="D9" s="32" t="n">
        <x:v>45</x:v>
      </x:c>
      <x:c r="E9" s="32" t="str">
        <x:v>ТОО Oil Construction Company</x:v>
      </x:c>
      <x:c r="F9" s="32" t="str">
        <x:v>Аудит ФО</x:v>
      </x:c>
      <x:c r="G9" s="32" t="str">
        <x:v>IAC Russell Bedford A+ Partners LLP</x:v>
      </x:c>
      <x:c r="H9" s="32" t="str">
        <x:v>exact</x:v>
      </x:c>
      <x:c r="I9" s="32" t="str">
        <x:v>ТОО «Oil Construction Company» (за период 2022-2024)</x:v>
      </x:c>
      <x:c r="J9" s="32" t="n">
        <x:v>170</x:v>
      </x:c>
      <x:c r="K9" s="32" t="str">
        <x:v>conflict</x:v>
      </x:c>
      <x:c r="L9" s="32" t="str">
        <x:v>1. ТОО «Oil Construction Company» (за период 2022-2024) [170] (ca8526ed-4e82-4566-bf08-ced1855f8166)
2. ТОО «Oil Construction Company» (за период 2022-2024) [170] (942e5751-7666-4d58-a696-17f2c63f4b1d)
3. ТОО «Oil Construction Company» (за период 2025-2027) [90] (0629f630-5092-4e09-8b63-84ea343c288f)
4. ТОО «Oil Construction Company» (за период 2025-2027) [90] (9c7b15cc-50c0-469a-8d68-63d21ba942bd)
5. ТОО «Oil Construction Company» (за период 2025-2027) [90] (6a0c7388-724d-445c-a66b-35d6dd3927e1)</x:v>
      </x:c>
      <x:c r="M9" s="32" t="str">
        <x:v>partner differs: existing 4cb72e5f-7375-4278-bd38-b29a7e4a197c vs Сауле Бадамбаева</x:v>
      </x:c>
      <x:c r="N9" s="32" t="str">
        <x:v>Нускабаева Райхан [manager]
Галымжанов Нурхан Нурланович [manager]
Zabira Yerlankyzy [supervisor]
Ерлан Худайберген [tax_specialist]
Қасымбек Тинай Асқарқызы [assistant]
Кенжекулов Адилжан Абдикалыкович [partner]
Нускабаева Райхан [project_leader]
Жамбыл Ернур [assistant_1]
Zabira Yerlankyzy [supervisor_1]
Идрисов Спандияр [tax_specialist_1]</x:v>
      </x:c>
      <x:c r="O9" s="32" t="str">
        <x:v>Сауле Бадамбаева [partner]
Нускабаева Райхан [manager_1]
Сейткереев Сакен [assistant_1]
Бисенова Гульсим [assistant_1]</x:v>
      </x:c>
      <x:c r="P9" s="33" t="b">
        <x:v>0</x:v>
      </x:c>
      <x:c r="Q9" s="32" t="str">
        <x:v>team_conflict</x:v>
      </x:c>
      <x:c r="R9" s="32" t="str">
        <x:v>merge_team_manually</x:v>
      </x:c>
      <x:c r="S9" s="32" t="str"/>
      <x:c r="T9" s="32" t="str"/>
      <x:c r="U9" s="32" t="str"/>
    </x:row>
    <x:row r="10" ht="42" customHeight="1">
      <x:c r="A10" s="32" t="str">
        <x:v>1 кв проекты 2024 rbi.xlsx::проекты 1 кв 2024::48</x:v>
      </x:c>
      <x:c r="B10" s="32" t="str">
        <x:v>1 кв Проекты 2024_RBI.xlsx</x:v>
      </x:c>
      <x:c r="C10" s="32" t="str">
        <x:v>Проекты 1 кв 2024</x:v>
      </x:c>
      <x:c r="D10" s="32" t="n">
        <x:v>48</x:v>
      </x:c>
      <x:c r="E10" s="32" t="str">
        <x:v>ТОО Oil Service Company</x:v>
      </x:c>
      <x:c r="F10" s="32" t="str">
        <x:v>Аудит ФО</x:v>
      </x:c>
      <x:c r="G10" s="32" t="str">
        <x:v>IAC Russell Bedford A+ Partners LLP</x:v>
      </x:c>
      <x:c r="H10" s="32" t="str">
        <x:v>probable</x:v>
      </x:c>
      <x:c r="I10" s="32" t="str">
        <x:v>ТОО «OIL SERVICES COMPANY» (за период 2023-2027)</x:v>
      </x:c>
      <x:c r="J10" s="32" t="n">
        <x:v>85</x:v>
      </x:c>
      <x:c r="K10" s="32" t="str">
        <x:v>conflict</x:v>
      </x:c>
      <x:c r="L10" s="32" t="str">
        <x:v>1. ТОО «OIL SERVICES COMPANY» (за период 2023-2027) [85] (7c18e28f-7550-4201-beef-03121fd6d38f)
2. ТОО «OIL SERVICES COMPANY» (за период 2023-2027) [85] (743d74ee-c866-4929-bd37-af5cdc042794)
3. ТОО «OIL SERVICES COMPANY» (за период 2023-2027) [85] (53fc2a97-a936-46ec-ad29-fb68f306c1b6)
4. ТОО «OIL SERVICES COMPANY» (за период 2023-2027) [85] (e7a541d3-4237-4a26-bf39-87775335a11a)
5. ТОО «OIL SERVICES COMPANY» (за период 2023-2027) [85] (b91354ef-07c8-497e-85d6-e871b3675831)</x:v>
      </x:c>
      <x:c r="M10" s="32" t="str">
        <x:v>partner differs: existing 4cb72e5f-7375-4278-bd38-b29a7e4a197c vs Сауле Бадамбаева</x:v>
      </x:c>
      <x:c r="N10" s="32" t="str">
        <x:v>Кенжекулов Адилжан Абдикалыкович [partner]
Галымжанов Нурхан Нурланович [project_leader]
Жамбыл Ернур [assistant_1]
Zabira Yerlankyzy [supervisor_1]
Идрисов Спандияр [tax_specialist_1]</x:v>
      </x:c>
      <x:c r="O10" s="32" t="str">
        <x:v>Сауле Бадамбаева [partner]</x:v>
      </x:c>
      <x:c r="P10" s="33" t="b">
        <x:v>1</x:v>
      </x:c>
      <x:c r="Q10" s="32" t="str">
        <x:v>team_conflict</x:v>
      </x:c>
      <x:c r="R10" s="32" t="str">
        <x:v>merge_team_manually</x:v>
      </x:c>
      <x:c r="S10" s="32" t="str"/>
      <x:c r="T10" s="32" t="str"/>
      <x:c r="U10" s="32" t="str"/>
    </x:row>
    <x:row r="11" ht="42" customHeight="1">
      <x:c r="A11" s="32" t="str">
        <x:v>1 кв проекты 2024 rbi.xlsx::проекты 1 кв 2024::50</x:v>
      </x:c>
      <x:c r="B11" s="32" t="str">
        <x:v>1 кв Проекты 2024_RBI.xlsx</x:v>
      </x:c>
      <x:c r="C11" s="32" t="str">
        <x:v>Проекты 1 кв 2024</x:v>
      </x:c>
      <x:c r="D11" s="32" t="n">
        <x:v>50</x:v>
      </x:c>
      <x:c r="E11" s="32" t="str">
        <x:v>Национальная Инвестиционная корпорация Нац Банка Казахстана</x:v>
      </x:c>
      <x:c r="F11" s="32" t="str">
        <x:v>Аудит ФО</x:v>
      </x:c>
      <x:c r="G11" s="32" t="str">
        <x:v>IAC Russell Bedford A+ Partners LLP</x:v>
      </x:c>
      <x:c r="H11" s="32" t="str">
        <x:v>probable</x:v>
      </x:c>
      <x:c r="I11" s="32" t="str">
        <x:v>Акционерное общество "Национальная платежная корпорация Национального Банка Республики Казахстан" - АУДИТ за 2024</x:v>
      </x:c>
      <x:c r="J11" s="32" t="n">
        <x:v>87</x:v>
      </x:c>
      <x:c r="K11" s="32" t="str">
        <x:v>conflict</x:v>
      </x:c>
      <x:c r="L11" s="32" t="str">
        <x:v>1. Акционерное общество "Национальная платежная корпорация Национального Банка Республики Казахстан" - АУДИТ за 2024 [80] (49694440-aee8-4cf4-af94-a8d4ef55a462)
2. АО «Национальная платежная корпорация Национального Банка Республики Казахстан» [33] (bef2ac7d-ef84-44fe-a70d-3adbbfa9d332)
3. Акционерное общество «Транснациональная компания «Казхром» - Проведение аудита расходов на разведку и добычу твердых полезных ископаемых, указанных в отчете об исполнении лицензионных обязательств [29] (920af92e-3236-4e89-93ff-8c7450ce1993)
4. 	АО "Социально-предпринимательская корпорация "Актобе" (за 2024-2026гг) - Закуп услуги по проведению аудита финансовой отчетности за 2024–2025-2026 годы Акционерного общества «Социально-предпринимательская
корпорация «Актобе»
Аудит за 2026 год [22] (e5039b53-76ad-4967-b953-7fbf6fda0939)
5. АО "Социально-предпринимательская корпорация "Актобе" (за 2024-2026гг) - Аудит финансовой отчетности за 2026 год
(Аудит финансовой отчетности за 2024–2025-2026 годы Акционерного общества «Социально-предпринимательская корпорация «Актобе») [22] (76ff2e58-fe2f-4fe2-a387-4a528d39ae94)</x:v>
      </x:c>
      <x:c r="M11" s="32" t="str">
        <x:v>partner differs: existing ba3d0a39-e789-4eed-8890-64dca41dbdd9 vs Шынгыс Сартаев</x:v>
      </x:c>
      <x:c r="N11" s="32" t="str">
        <x:v>Сауле Бадамбаева [partner]
Нускабаева Райхан [project_leader]
Гульжан Чалова [manager_1]
Қасымбек Тинай Асқарқызы [assistant_1]
Кенжебек Мая Тельманкызы [manager_1]
Идрисов Спандияр [tax_specialist_1]</x:v>
      </x:c>
      <x:c r="O11" s="32" t="str">
        <x:v>Шынгыс Сартаев [partner]</x:v>
      </x:c>
      <x:c r="P11" s="33" t="b">
        <x:v>1</x:v>
      </x:c>
      <x:c r="Q11" s="32" t="str">
        <x:v>team_conflict</x:v>
      </x:c>
      <x:c r="R11" s="32" t="str">
        <x:v>merge_team_manually</x:v>
      </x:c>
      <x:c r="S11" s="32" t="str"/>
      <x:c r="T11" s="32" t="str"/>
      <x:c r="U11" s="32" t="str"/>
    </x:row>
    <x:row r="12" ht="42" customHeight="1">
      <x:c r="A12" s="32" t="str">
        <x:v>1 кв проекты 2024 rbi.xlsx::проекты 1 кв 2024::55</x:v>
      </x:c>
      <x:c r="B12" s="32" t="str">
        <x:v>1 кв Проекты 2024_RBI.xlsx</x:v>
      </x:c>
      <x:c r="C12" s="32" t="str">
        <x:v>Проекты 1 кв 2024</x:v>
      </x:c>
      <x:c r="D12" s="32" t="n">
        <x:v>55</x:v>
      </x:c>
      <x:c r="E12" s="32" t="str">
        <x:v>ТОО Женис Оперейтинг</x:v>
      </x:c>
      <x:c r="F12" s="32" t="str">
        <x:v>Аудит ФО</x:v>
      </x:c>
      <x:c r="G12" s="32" t="str">
        <x:v>IAC Russell Bedford A+ Partners LLP</x:v>
      </x:c>
      <x:c r="H12" s="32" t="str">
        <x:v>exact</x:v>
      </x:c>
      <x:c r="I12" s="32" t="str">
        <x:v>ТОО Женис Оперейтинг (за период 2023-2025)</x:v>
      </x:c>
      <x:c r="J12" s="32" t="n">
        <x:v>170</x:v>
      </x:c>
      <x:c r="K12" s="32" t="str">
        <x:v>conflict</x:v>
      </x:c>
      <x:c r="L12" s="32" t="str">
        <x:v>1. ТОО Женис Оперейтинг (за период 2023-2025) [170] (2ba8ccf4-86b1-4212-86c0-8737b26d140b)
2. ТОО Женис Оперейтинг (за период 2023-2025) [170] (c21511fc-c43b-47d1-b47e-04b682751abd)
3. ТОО «Аль-Фараби Оперейтинг» [25] (4ffb6df1-3fa9-4362-9182-f8d6ca32dfee)
4. ТОО «Аль-Фараби Оперейтинг» [25] (b3e8dd4c-26ff-4d39-af21-8de208770b43)</x:v>
      </x:c>
      <x:c r="M12" s="32" t="str">
        <x:v>partner differs: existing 3ceb66d6-1ecf-4ab2-8a98-aa2436b9d0fd vs Кенжекулов Адилжан Абдикалыкович</x:v>
      </x:c>
      <x:c r="N12" s="32" t="str">
        <x:v>Куптлеуова Альбина [assistant_1]
Шынгыс Сартаев [partner]</x:v>
      </x:c>
      <x:c r="O12" s="32" t="str">
        <x:v>Кенжекулов Адилжан Абдикалыкович [partner]
Роза Бакишева [manager_1]</x:v>
      </x:c>
      <x:c r="P12" s="33" t="b">
        <x:v>0</x:v>
      </x:c>
      <x:c r="Q12" s="32" t="str">
        <x:v>team_conflict</x:v>
      </x:c>
      <x:c r="R12" s="32" t="str">
        <x:v>merge_team_manually</x:v>
      </x:c>
      <x:c r="S12" s="32" t="str"/>
      <x:c r="T12" s="32" t="str"/>
      <x:c r="U12" s="32" t="str"/>
    </x:row>
    <x:row r="13" ht="42" customHeight="1">
      <x:c r="A13" s="32" t="str">
        <x:v>1 кв проекты 2024 rbi.xlsx::проекты 1 кв 2024::59</x:v>
      </x:c>
      <x:c r="B13" s="32" t="str">
        <x:v>1 кв Проекты 2024_RBI.xlsx</x:v>
      </x:c>
      <x:c r="C13" s="32" t="str">
        <x:v>Проекты 1 кв 2024</x:v>
      </x:c>
      <x:c r="D13" s="32" t="n">
        <x:v>59</x:v>
      </x:c>
      <x:c r="E13" s="32" t="str">
        <x:v>ТОО Озенмунайсервис</x:v>
      </x:c>
      <x:c r="F13" s="32" t="str">
        <x:v>Аудит ФО</x:v>
      </x:c>
      <x:c r="G13" s="32" t="str">
        <x:v>IAC Russell Bedford A+ Partners LLP</x:v>
      </x:c>
      <x:c r="H13" s="32" t="str">
        <x:v>exact</x:v>
      </x:c>
      <x:c r="I13" s="32" t="str">
        <x:v>ТОО Озенмунайсервис (за период 2023-2025)</x:v>
      </x:c>
      <x:c r="J13" s="32" t="n">
        <x:v>170</x:v>
      </x:c>
      <x:c r="K13" s="32" t="str">
        <x:v>conflict</x:v>
      </x:c>
      <x:c r="L13" s="32" t="str">
        <x:v>1. ТОО Озенмунайсервис (за период 2023-2025) [170] (c011cdcf-144b-4839-be2a-a86a63cc2ab2)
2. ТОО Озенмунайсервис (за период 2023-2025) [170] (27758e4e-e71d-456b-a2f4-b245c062b5c9)
3. ТОО Озенмунайсервис (за период 2023-2025) [170] (624b27eb-d589-4ef2-860c-9c22bd4e9610)
4. ТОО Озенмунайсервис (за период 2023-2025) [170] (f9219841-5532-44a6-96e6-bbfb24de900d)</x:v>
      </x:c>
      <x:c r="M13" s="32" t="str">
        <x:v>partner differs: existing 4cb72e5f-7375-4278-bd38-b29a7e4a197c vs Сауле Бадамбаева</x:v>
      </x:c>
      <x:c r="N13" s="32" t="str">
        <x:v>Ажарбаев Самат [assistant_1]
Аманов Онгар [assistant_1]
Бекжанов Бақытжан Абылқасымұлы [supervisor_1]
Боранбай Анар [tax_specialist_1]
Галымжанов Нурхан Нурланович [manager_3]
Ембердиев Ермек [manager_1]
Жамбыл Ернур [assistant_1]
Идрисов Спандияр [assistant_1]
Куандыкова Жанар Ерлановна [tax_specialist_2]
Лаура Акан [assistant_1]
Sagadat Marat [assistant_1]
Молдабаев Бауыржан Казыбекович [assistant_1]
Нурулла Нугман [assistant_1]
Нускабаева Райхан [manager_1]
Қасымбек Тинай Асқарқызы [assistant_1]
Кенжекулов Адилжан Абдикалыкович [partner]
Галымжанов Нурхан Нурланович [project_leader]
Zabira Yerlankyzy [supervisor_1]</x:v>
      </x:c>
      <x:c r="O13" s="32" t="str">
        <x:v>Сауле Бадамбаева [partner]</x:v>
      </x:c>
      <x:c r="P13" s="33" t="b">
        <x:v>1</x:v>
      </x:c>
      <x:c r="Q13" s="32" t="str">
        <x:v>team_conflict</x:v>
      </x:c>
      <x:c r="R13" s="32" t="str">
        <x:v>merge_team_manually</x:v>
      </x:c>
      <x:c r="S13" s="32" t="str"/>
      <x:c r="T13" s="32" t="str"/>
      <x:c r="U13" s="32" t="str"/>
    </x:row>
    <x:row r="14" ht="42" customHeight="1">
      <x:c r="A14" s="32" t="str">
        <x:v>1 кв проекты 2024 rbi.xlsx::проекты 1 кв 2024::66</x:v>
      </x:c>
      <x:c r="B14" s="32" t="str">
        <x:v>1 кв Проекты 2024_RBI.xlsx</x:v>
      </x:c>
      <x:c r="C14" s="32" t="str">
        <x:v>Проекты 1 кв 2024</x:v>
      </x:c>
      <x:c r="D14" s="32" t="n">
        <x:v>66</x:v>
      </x:c>
      <x:c r="E14" s="32" t="str">
        <x:v>АО Ак Бидай - Терминал</x:v>
      </x:c>
      <x:c r="F14" s="32" t="str">
        <x:v>Аудит ФО</x:v>
      </x:c>
      <x:c r="G14" s="32" t="str">
        <x:v>IAC Russell Bedford A+ Partners LLP</x:v>
      </x:c>
      <x:c r="H14" s="32" t="str">
        <x:v>exact</x:v>
      </x:c>
      <x:c r="I14" s="32" t="str">
        <x:v>АО "АК БИДАЙ- ТЕРМИНАЛ"</x:v>
      </x:c>
      <x:c r="J14" s="32" t="n">
        <x:v>290</x:v>
      </x:c>
      <x:c r="K14" s="32" t="str">
        <x:v>exact</x:v>
      </x:c>
      <x:c r="L14" s="32" t="str">
        <x:v>1. АО "АК БИДАЙ- ТЕРМИНАЛ" [255] (5a916963-ea1a-41ea-85b2-5fb775d52a64)
2. АО АК БИДАЙ-ТЕРМИНАЛ - Аудит финансовой отчетности за 2025 года [114] (65f6c460-8ee0-42b8-8efa-da4f32e872be)
3. 	АО "Социально-предпринимательская корпорация "Актобе" (за 2024-2026гг) - Закуп услуги по проведению аудита финансовой отчетности за 2024–2025-2026 годы Акционерного общества «Социально-предпринимательская
корпорация «Актобе»
Аудит за 2026 год [31] (e5039b53-76ad-4967-b953-7fbf6fda0939)
4. АО "Социально-предпринимательская корпорация "Актобе" (за 2024-2026гг) - Аудит финансовой отчетности за 2026 год
(Аудит финансовой отчетности за 2024–2025-2026 годы Акционерного общества «Социально-предпринимательская корпорация «Актобе») [31] (76ff2e58-fe2f-4fe2-a387-4a528d39ae94)
5. 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 [31] (03813a13-459e-4d7f-ac17-8e2d050faccd)</x:v>
      </x:c>
      <x:c r="M14" s="32" t="str">
        <x:v>partner differs: existing ba3d0a39-e789-4eed-8890-64dca41dbdd9 vs Шынгыс Сартаев</x:v>
      </x:c>
      <x:c r="N14" s="32" t="str">
        <x:v>Жамбыл Ернур [assistant_1]
Медекенов Марат Макунович [manager_1]
Нускабаева Райхан [manager_1]
Ерлан Худайберген [tax_specialist_1]
Қасымбек Тинай Асқарқызы [assistant_1]
Сауле Бадамбаева [partner]</x:v>
      </x:c>
      <x:c r="O14" s="32" t="str">
        <x:v>Шынгыс Сартаев [partner]
Мадиева Раушан [assistant_1]
Тукеева Назира [assistant_1]</x:v>
      </x:c>
      <x:c r="P14" s="33" t="b">
        <x:v>1</x:v>
      </x:c>
      <x:c r="Q14" s="32" t="str">
        <x:v>team_conflict</x:v>
      </x:c>
      <x:c r="R14" s="32" t="str">
        <x:v>merge_team_manually</x:v>
      </x:c>
      <x:c r="S14" s="32" t="str"/>
      <x:c r="T14" s="32" t="str"/>
      <x:c r="U14" s="32" t="str"/>
    </x:row>
    <x:row r="15" ht="42" customHeight="1">
      <x:c r="A15" s="32" t="str">
        <x:v>1 кв проекты 2024 rbi.xlsx::проекты 1 кв 2024::72</x:v>
      </x:c>
      <x:c r="B15" s="32" t="str">
        <x:v>1 кв Проекты 2024_RBI.xlsx</x:v>
      </x:c>
      <x:c r="C15" s="32" t="str">
        <x:v>Проекты 1 кв 2024</x:v>
      </x:c>
      <x:c r="D15" s="32" t="n">
        <x:v>72</x:v>
      </x:c>
      <x:c r="E15" s="32" t="str">
        <x:v>ТОО Фридом Финанс Кредит</x:v>
      </x:c>
      <x:c r="F15" s="32" t="str">
        <x:v>Аудит ФО</x:v>
      </x:c>
      <x:c r="G15" s="32" t="str">
        <x:v>IAC Russell Bedford A+ Partners LLP</x:v>
      </x:c>
      <x:c r="H15" s="32" t="str">
        <x:v>probable</x:v>
      </x:c>
      <x:c r="I15" s="32" t="str">
        <x:v>ТОО «Микрофинансовая организация ФРИДОМ ФИНАНС Кредит»</x:v>
      </x:c>
      <x:c r="J15" s="32" t="n">
        <x:v>97</x:v>
      </x:c>
      <x:c r="K15" s="32" t="str">
        <x:v>not_found</x:v>
      </x:c>
      <x:c r="L15" s="32" t="str">
        <x:v>1. ТОО «Микрофинансовая организация ФРИДОМ ФИНАНС Кредит» [62] (ee88c6d0-e1ea-4846-b6fb-3170a48358ea)
2. ТОО «Микрофинансовая организация ФРИДОМ ФИНАНС Кредит» [62] (032b04c9-9678-40d2-86bf-c455bc016052)
3. ТОО «Микрофинансовая организация ФРИДОМ ФИНАНС Кредит» [62] (7015ffaa-0792-4265-aa01-53efd5423c31)
4. ТОО «Микрофинансовая организация ФРИДОМ ФИНАНС Кредит» [62] (a8236f99-0df1-4c9a-b537-a017f40e279f)
5. ТОО «Микрофинансовая организация ФРИДОМ ФИНАНС Кредит» [62] (e114d1bf-f25f-41e1-adc1-10a39d35d2e2)</x:v>
      </x:c>
      <x:c r="M15" s="32" t="str">
        <x:v>partner differs: existing 4cb72e5f-7375-4278-bd38-b29a7e4a197c vs Сейфуллина Гульмира Саятхановна
partner differs: existing 4cb72e5f-7375-4278-bd38-b29a7e4a197c vs Арнабекова Гулшат
partner differs: existing 4cb72e5f-7375-4278-bd38-b29a7e4a197c vs Забира Ерланкызы
partner differs: existing 4cb72e5f-7375-4278-bd38-b29a7e4a197c vs Чалова Гульжан</x:v>
      </x:c>
      <x:c r="N15" s="32" t="str"/>
      <x:c r="O15" s="32" t="str">
        <x:v>Кенжекулов Адилжан Абдикалыкович [partner]
Сейфуллина Гульмира Саятхановна [partner]
Арнабекова Гулшат [partner]
Забира Ерланкызы [partner]
Чалова Гульжан [partner]</x:v>
      </x:c>
      <x:c r="P15" s="33" t="b">
        <x:v>0</x:v>
      </x:c>
      <x:c r="Q15" s="32" t="str">
        <x:v>team_conflict</x:v>
      </x:c>
      <x:c r="R15" s="32" t="str">
        <x:v>merge_team_manually</x:v>
      </x:c>
      <x:c r="S15" s="32" t="str"/>
      <x:c r="T15" s="32" t="str"/>
      <x:c r="U15" s="32" t="str"/>
    </x:row>
    <x:row r="16" ht="42" customHeight="1">
      <x:c r="A16" s="32" t="str">
        <x:v>1 кв проекты 2024 rbi.xlsx::проекты 1 кв 2024::73</x:v>
      </x:c>
      <x:c r="B16" s="32" t="str">
        <x:v>1 кв Проекты 2024_RBI.xlsx</x:v>
      </x:c>
      <x:c r="C16" s="32" t="str">
        <x:v>Проекты 1 кв 2024</x:v>
      </x:c>
      <x:c r="D16" s="32" t="n">
        <x:v>73</x:v>
      </x:c>
      <x:c r="E16" s="32" t="str">
        <x:v>АО Фонд ФПК</x:v>
      </x:c>
      <x:c r="F16" s="32" t="str">
        <x:v>Аудит ФО</x:v>
      </x:c>
      <x:c r="G16" s="32" t="str">
        <x:v>IAC Russell Bedford A+ Partners LLP</x:v>
      </x:c>
      <x:c r="H16" s="32" t="str">
        <x:v>conflict</x:v>
      </x:c>
      <x:c r="I16" s="32" t="str">
        <x:v>АО «Акционерный инвестиционный фонд недвижимости «TG AL-Farabi» от Тримовой Сауле</x:v>
      </x:c>
      <x:c r="J16" s="32" t="n">
        <x:v>72</x:v>
      </x:c>
      <x:c r="K16" s="32" t="str">
        <x:v>not_found</x:v>
      </x:c>
      <x:c r="L16" s="32" t="str">
        <x:v>1. АО «Акционерный инвестиционный фонд недвижимости «TG AL-Farabi» от Тримовой Сауле [37] (44929955-29b6-4407-b935-e71be44d7d0e)
2. АО «Акционерный инвестиционный фонд рискового инвестирования «TG MED» от Тримовой Сауле [37] (0a22ced6-daec-40ec-82ef-b9ad21d0eba6)
3. АО «Фонд развития предпринимательства «ДАМУ» [37] (9a800db0-9bf9-4019-a140-4f15d78ef3cf)
4. АО Казахстанский фонд гарантирования депозитов [37] (c67a2b2c-e8ac-484a-9407-ec1933ef2863)
5. АО Казахстанский фонд гарантирования депозитов [37] (0df149f2-46ef-4afe-a719-e3e60ddd53a2)</x:v>
      </x:c>
      <x:c r="M16" s="32" t="str">
        <x:v>partner differs: existing 4cb72e5f-7375-4278-bd38-b29a7e4a197c vs Сауле Бадамбаева
partner differs: existing 4cb72e5f-7375-4278-bd38-b29a7e4a197c vs Ержан Тумабеков</x:v>
      </x:c>
      <x:c r="N16" s="32" t="str"/>
      <x:c r="O16" s="32" t="str">
        <x:v>Сауле Бадамбаева [partner]
Ержан Тумабеков [partner]</x:v>
      </x:c>
      <x:c r="P16" s="33" t="b">
        <x:v>0</x:v>
      </x:c>
      <x:c r="Q16" s="32" t="str">
        <x:v>needs_project_match</x:v>
      </x:c>
      <x:c r="R16" s="32" t="str">
        <x:v>choose_existing_project</x:v>
      </x:c>
      <x:c r="S16" s="32" t="str"/>
      <x:c r="T16" s="32" t="str"/>
      <x:c r="U16" s="32" t="str"/>
    </x:row>
    <x:row r="17" ht="42" customHeight="1">
      <x:c r="A17" s="32" t="str">
        <x:v>1 кв проекты 2024 rbi.xlsx::проекты 1 кв 2024::77</x:v>
      </x:c>
      <x:c r="B17" s="32" t="str">
        <x:v>1 кв Проекты 2024_RBI.xlsx</x:v>
      </x:c>
      <x:c r="C17" s="32" t="str">
        <x:v>Проекты 1 кв 2024</x:v>
      </x:c>
      <x:c r="D17" s="32" t="n">
        <x:v>77</x:v>
      </x:c>
      <x:c r="E17" s="32" t="str">
        <x:v>ТОО Уранэнерго</x:v>
      </x:c>
      <x:c r="F17" s="32" t="str">
        <x:v>Аудит ФО</x:v>
      </x:c>
      <x:c r="G17" s="32" t="str">
        <x:v>IAC Russell Bedford A+ Partners LLP</x:v>
      </x:c>
      <x:c r="H17" s="32" t="str">
        <x:v>exact</x:v>
      </x:c>
      <x:c r="I17" s="32" t="str">
        <x:v>ТОО «Уранэнерго» </x:v>
      </x:c>
      <x:c r="J17" s="32" t="n">
        <x:v>210</x:v>
      </x:c>
      <x:c r="K17" s="32" t="str">
        <x:v>conflict</x:v>
      </x:c>
      <x:c r="L17" s="32" t="str">
        <x:v>1. ТОО «Уранэнерго»  [255] (81f96770-c5d9-4598-8402-bf52158d68e2)
2. ТОО «Уранэнерго»  [255] (9cb06676-76fa-49cc-a5d0-41c93c40b9a7)
3. ТОО «Уранэнерго»  [255] (b0b94a89-d295-487d-9e53-ce730f16db4b)</x:v>
      </x:c>
      <x:c r="M17" s="32" t="str">
        <x:v>partner differs: existing 4cb72e5f-7375-4278-bd38-b29a7e4a197c vs Жаркымбекова Камиля</x:v>
      </x:c>
      <x:c r="N17" s="32" t="str">
        <x:v>Кенжекулов Адилжан Абдикалыкович [partner]</x:v>
      </x:c>
      <x:c r="O17" s="32" t="str">
        <x:v>Кенжекулов Адилжан Абдикалыкович [partner]
Жаркымбекова Камиля [partner]</x:v>
      </x:c>
      <x:c r="P17" s="33" t="b">
        <x:v>1</x:v>
      </x:c>
      <x:c r="Q17" s="32" t="str">
        <x:v>team_conflict</x:v>
      </x:c>
      <x:c r="R17" s="32" t="str">
        <x:v>merge_team_manually</x:v>
      </x:c>
      <x:c r="S17" s="32" t="str"/>
      <x:c r="T17" s="32" t="str"/>
      <x:c r="U17" s="32" t="str"/>
    </x:row>
    <x:row r="18" ht="42" customHeight="1">
      <x:c r="A18" s="32" t="str">
        <x:v>1 кв проекты 2024 rbi.xlsx::проекты 1 кв 2024::86</x:v>
      </x:c>
      <x:c r="B18" s="32" t="str">
        <x:v>1 кв Проекты 2024_RBI.xlsx</x:v>
      </x:c>
      <x:c r="C18" s="32" t="str">
        <x:v>Проекты 1 кв 2024</x:v>
      </x:c>
      <x:c r="D18" s="32" t="n">
        <x:v>86</x:v>
      </x:c>
      <x:c r="E18" s="32" t="str">
        <x:v>ТОО СИКА Казахстан</x:v>
      </x:c>
      <x:c r="F18" s="32" t="str">
        <x:v>Аудит ФО</x:v>
      </x:c>
      <x:c r="G18" s="32" t="str">
        <x:v>IAC Russell Bedford A+ Partners LLP</x:v>
      </x:c>
      <x:c r="H18" s="32" t="str">
        <x:v>conflict</x:v>
      </x:c>
      <x:c r="I18" s="32" t="str">
        <x:v>ТОО «Сика Сентрал Эйша»</x:v>
      </x:c>
      <x:c r="J18" s="32" t="n">
        <x:v>85</x:v>
      </x:c>
      <x:c r="K18" s="32" t="str">
        <x:v>conflict</x:v>
      </x:c>
      <x:c r="L18" s="32" t="str">
        <x:v>1. Акционерное общество "Национальная платежная корпорация Национального Банка Республики Казахстан" - АУДИТ за 2024 [72] (49694440-aee8-4cf4-af94-a8d4ef55a462)
2. АО "Республиканская телерадиокорпорация "Казахстан" (за 2024-2026гг) [60] (34cb9178-42ab-4479-96b1-59f9c1eff0a2)
3. АО "Республиканская телерадиокорпорация "Казахстан" (за 2024-2026гг) [60] (79fa8e30-5ba2-49ee-8916-cc490f855d28)
4. АО "Республиканская телерадиокорпорация "Казахстан" (за 2024-2026гг) [60] (dc446cf9-582d-422f-b872-1c69b4fc103c)
5. АО "Республиканская телерадиокорпорация "Казахстан" (за 2024-2026гг) [60] (62f8f591-75ad-4fdc-9a2b-5fe30ca91acc)</x:v>
      </x:c>
      <x:c r="M18" s="32" t="str">
        <x:v>partner differs: existing 3ceb66d6-1ecf-4ab2-8a98-aa2436b9d0fd vs Хаирбеков Адиль</x:v>
      </x:c>
      <x:c r="N18" s="32" t="str">
        <x:v>Сауле Бадамбаева [partner]
Нускабаева Райхан [project_leader]
Гульжан Чалова [manager_1]
Қасымбек Тинай Асқарқызы [assistant_1]
Кенжебек Мая Тельманкызы [manager_1]
Идрисов Спандияр [tax_specialist_1]</x:v>
      </x:c>
      <x:c r="O18" s="32" t="str">
        <x:v>Хаирбеков Адиль [partner]</x:v>
      </x:c>
      <x:c r="P18" s="33" t="b">
        <x:v>1</x:v>
      </x:c>
      <x:c r="Q18" s="32" t="str">
        <x:v>needs_project_match</x:v>
      </x:c>
      <x:c r="R18" s="32" t="str">
        <x:v>choose_existing_project</x:v>
      </x:c>
      <x:c r="S18" s="32" t="str"/>
      <x:c r="T18" s="32" t="str"/>
      <x:c r="U18" s="32" t="str"/>
    </x:row>
    <x:row r="19" ht="42" customHeight="1">
      <x:c r="A19" s="32" t="str">
        <x:v>1 кв проекты 2024 rbi.xlsx::проекты 1 кв 2024::90</x:v>
      </x:c>
      <x:c r="B19" s="32" t="str">
        <x:v>1 кв Проекты 2024_RBI.xlsx</x:v>
      </x:c>
      <x:c r="C19" s="32" t="str">
        <x:v>Проекты 1 кв 2024</x:v>
      </x:c>
      <x:c r="D19" s="32" t="n">
        <x:v>90</x:v>
      </x:c>
      <x:c r="E19" s="32" t="str">
        <x:v>ТОО Turkistan Silk Harbor</x:v>
      </x:c>
      <x:c r="F19" s="32" t="str">
        <x:v>Аудит ФО</x:v>
      </x:c>
      <x:c r="G19" s="32" t="str">
        <x:v>PE Russell Bedford A+ Partners</x:v>
      </x:c>
      <x:c r="H19" s="32" t="str">
        <x:v>probable</x:v>
      </x:c>
      <x:c r="I19" s="32" t="str">
        <x:v>ТОО «TURKISTAN SILK WAY HARBOR» </x:v>
      </x:c>
      <x:c r="J19" s="32" t="n">
        <x:v>85</x:v>
      </x:c>
      <x:c r="K19" s="32" t="str">
        <x:v>not_found</x:v>
      </x:c>
      <x:c r="L19" s="32" t="str">
        <x:v>1. ТОО «TURKISTAN SILK WAY HARBOR»  [50] (b771678a-8d16-4130-9df8-f3da3f1bf3c4)
2. ТОО «TURKISTAN SILK WAY HARBOR»  [50] (8f74696d-251d-457b-91ee-bbb68bcb3a0c)
3. ТОО «TURKISTAN SILK WAY HARBOR» - услуги по проведению аудита консолидированной финансовой отчетности Частной Компании Tethys International Touristic Hub Ltd. (включая дочерние компании), подготовленной в соответствии с международными стандартами финансовой отчетности за год, завершающийся 31 декабря 2025 года. Валюта презентации финансовой отчетности – тенге [29] (19192538-8c62-4471-899c-8a54877508ae)</x:v>
      </x:c>
      <x:c r="M19" s="32" t="str">
        <x:v>partner differs: existing 4cb72e5f-7375-4278-bd38-b29a7e4a197c vs Шынгыс Сартаев</x:v>
      </x:c>
      <x:c r="N19" s="32" t="str"/>
      <x:c r="O19" s="32" t="str">
        <x:v>Шынгыс Сартаев [partner]
Кенжекулов Адилжан Абдикалыкович [partner]
Сартаева Гаухар Шыныбековна [manager_1]</x:v>
      </x:c>
      <x:c r="P19" s="33" t="b">
        <x:v>0</x:v>
      </x:c>
      <x:c r="Q19" s="32" t="str">
        <x:v>team_conflict</x:v>
      </x:c>
      <x:c r="R19" s="32" t="str">
        <x:v>merge_team_manually</x:v>
      </x:c>
      <x:c r="S19" s="32" t="str"/>
      <x:c r="T19" s="32" t="str"/>
      <x:c r="U19" s="32" t="str"/>
    </x:row>
    <x:row r="20" ht="42" customHeight="1">
      <x:c r="A20" s="32" t="str">
        <x:v>1 кв проекты 2024 rbi.xlsx::проекты 1 кв 2024::94</x:v>
      </x:c>
      <x:c r="B20" s="32" t="str">
        <x:v>1 кв Проекты 2024_RBI.xlsx</x:v>
      </x:c>
      <x:c r="C20" s="32" t="str">
        <x:v>Проекты 1 кв 2024</x:v>
      </x:c>
      <x:c r="D20" s="32" t="n">
        <x:v>94</x:v>
      </x:c>
      <x:c r="E20" s="32" t="str">
        <x:v>IC Petrolium</x:v>
      </x:c>
      <x:c r="F20" s="32" t="str">
        <x:v>Аудит ФО</x:v>
      </x:c>
      <x:c r="G20" s="32" t="str">
        <x:v>IAC Russell Bedford A+ Partners LLP</x:v>
      </x:c>
      <x:c r="H20" s="32" t="str">
        <x:v>conflict</x:v>
      </x:c>
      <x:c r="I20" s="32" t="str">
        <x:v>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x:v>
      </x:c>
      <x:c r="J20" s="32" t="n">
        <x:v>84</x:v>
      </x:c>
      <x:c r="K20" s="32" t="str">
        <x:v>conflict</x:v>
      </x:c>
      <x:c r="L20" s="32" t="str">
        <x:v>1. 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 [84] (03813a13-459e-4d7f-ac17-8e2d050faccd)
2. Частная компания Unicorn Holdings Limited - услуг по проведению аудита финансовой отчетности Частной компании Unicorn Holdings Limited, за 2024 год, в соответствии с МСФО и МСА. Валюта презентации финансовой отчетности – в долларах США или в тенге [84] (a853d618-a602-42e9-8a7b-551d9680cc4f)
3. ТОО «IC Petroleum» (за период 2024-2026) [60] (3dac1a32-a0c9-4a40-853b-de6798112d4a)
4. ТОО «IC Petroleum» (за период 2024-2026) [60] (1663f55b-eb10-46c9-9803-d977c3c8e42f)
5. ТОО «IC Petroleum» (за период 2024-2026) [60] (24a32f15-50a8-41c1-ab6b-156413222b90)</x:v>
      </x:c>
      <x:c r="M20" s="32" t="str">
        <x:v>partner differs: existing c7fc625d-7836-4eed-90bb-b14541040f42 vs Сейфуллина Гульмира Саятхановна</x:v>
      </x:c>
      <x:c r="N20" s="32" t="str">
        <x:v>Арнабеков Ерлан [partner]</x:v>
      </x:c>
      <x:c r="O20" s="32" t="str">
        <x:v>Арнабеков Ерлан [partner]
Сейфуллина Гульмира Саятхановна [partner]
Забира Ерланкызы [supervisor_1]
Акулбеков Кайрат [assistant_1]</x:v>
      </x:c>
      <x:c r="P20" s="33" t="b">
        <x:v>1</x:v>
      </x:c>
      <x:c r="Q20" s="32" t="str">
        <x:v>needs_project_match</x:v>
      </x:c>
      <x:c r="R20" s="32" t="str">
        <x:v>choose_existing_project</x:v>
      </x:c>
      <x:c r="S20" s="32" t="str"/>
      <x:c r="T20" s="32" t="str"/>
      <x:c r="U20" s="32" t="str"/>
    </x:row>
    <x:row r="21" ht="42" customHeight="1">
      <x:c r="A21" s="32" t="str">
        <x:v>1 кв проекты 2025 rbi.xlsx::проекты 1 кв 2025::12</x:v>
      </x:c>
      <x:c r="B21" s="32" t="str">
        <x:v>1 кв Проекты 2025_RBI.xlsx</x:v>
      </x:c>
      <x:c r="C21" s="32" t="str">
        <x:v>Проекты 1 кв 2025</x:v>
      </x:c>
      <x:c r="D21" s="32" t="n">
        <x:v>12</x:v>
      </x:c>
      <x:c r="E21" s="32" t="str">
        <x:v>АО Ак Бидай-Терминал</x:v>
      </x:c>
      <x:c r="F21" s="32" t="str">
        <x:v>Аудит ФО</x:v>
      </x:c>
      <x:c r="G21" s="32" t="str">
        <x:v>ТОО Russell Bedford A+ Partners</x:v>
      </x:c>
      <x:c r="H21" s="32" t="str">
        <x:v>exact</x:v>
      </x:c>
      <x:c r="I21" s="32" t="str">
        <x:v>АО "АК БИДАЙ- ТЕРМИНАЛ"</x:v>
      </x:c>
      <x:c r="J21" s="32" t="n">
        <x:v>290</x:v>
      </x:c>
      <x:c r="K21" s="32" t="str">
        <x:v>exact</x:v>
      </x:c>
      <x:c r="L21" s="32" t="str">
        <x:v>1. АО "АК БИДАЙ- ТЕРМИНАЛ" [255] (5a916963-ea1a-41ea-85b2-5fb775d52a64)
2. АО АК БИДАЙ-ТЕРМИНАЛ - Аудит финансовой отчетности за 2025 года [194] (65f6c460-8ee0-42b8-8efa-da4f32e872be)
3. 	АО "Социально-предпринимательская корпорация "Актобе" (за 2024-2026гг) - Закуп услуги по проведению аудита финансовой отчетности за 2024–2025-2026 годы Акционерного общества «Социально-предпринимательская
корпорация «Актобе»
Аудит за 2026 год [31] (e5039b53-76ad-4967-b953-7fbf6fda0939)
4. Акционерное общество «Amaranth Capital» - услуг по проведению аудита финансовой отчетности АО «Amaranth Capital» за период с 1 января 2025 года по 31 декабря 2025 года, подготовленной в соответствии с Международными Стандартами Финансовой Отчетности  [31] (646d721c-fc3f-414c-9853-cef1cce8ef47)
5. АО "Социально-предпринимательская корпорация "Актобе" (за 2024-2026гг) - Аудит финансовой отчетности за 2026 год
(Аудит финансовой отчетности за 2024–2025-2026 годы Акционерного общества «Социально-предпринимательская корпорация «Актобе») [31] (76ff2e58-fe2f-4fe2-a387-4a528d39ae94)</x:v>
      </x:c>
      <x:c r="M21" s="32" t="str">
        <x:v>partner differs: existing ba3d0a39-e789-4eed-8890-64dca41dbdd9 vs Арнабеков Ерлан</x:v>
      </x:c>
      <x:c r="N21" s="32" t="str">
        <x:v>Жамбыл Ернур [assistant_1]
Медекенов Марат Макунович [manager_1]
Нускабаева Райхан [manager_1]
Ерлан Худайберген [tax_specialist_1]
Қасымбек Тинай Асқарқызы [assistant_1]
Сауле Бадамбаева [partner]</x:v>
      </x:c>
      <x:c r="O21" s="32" t="str">
        <x:v>Арнабеков Ерлан [partner]</x:v>
      </x:c>
      <x:c r="P21" s="33" t="b">
        <x:v>1</x:v>
      </x:c>
      <x:c r="Q21" s="32" t="str">
        <x:v>team_conflict</x:v>
      </x:c>
      <x:c r="R21" s="32" t="str">
        <x:v>merge_team_manually</x:v>
      </x:c>
      <x:c r="S21" s="32" t="str"/>
      <x:c r="T21" s="32" t="str"/>
      <x:c r="U21" s="32" t="str"/>
    </x:row>
    <x:row r="22" ht="42" customHeight="1">
      <x:c r="A22" s="32" t="str">
        <x:v>1 кв проекты 2025 rbi.xlsx::проекты 1 кв 2025::15</x:v>
      </x:c>
      <x:c r="B22" s="32" t="str">
        <x:v>1 кв Проекты 2025_RBI.xlsx</x:v>
      </x:c>
      <x:c r="C22" s="32" t="str">
        <x:v>Проекты 1 кв 2025</x:v>
      </x:c>
      <x:c r="D22" s="32" t="n">
        <x:v>15</x:v>
      </x:c>
      <x:c r="E22" s="32" t="str">
        <x:v>Евразийский Банк Развития</x:v>
      </x:c>
      <x:c r="F22" s="32" t="str">
        <x:v>Аудит ФО</x:v>
      </x:c>
      <x:c r="G22" s="32" t="str">
        <x:v>ТОО Russell Bedford A+ Partners</x:v>
      </x:c>
      <x:c r="H22" s="32" t="str">
        <x:v>exact</x:v>
      </x:c>
      <x:c r="I22" s="32" t="str">
        <x:v>Евразийский Банк Развития</x:v>
      </x:c>
      <x:c r="J22" s="32" t="n">
        <x:v>290</x:v>
      </x:c>
      <x:c r="K22" s="32" t="str">
        <x:v>conflict</x:v>
      </x:c>
      <x:c r="L22" s="32" t="str">
        <x:v>1. Евразийский Банк Развития [255] (6b9d0d63-3bee-4644-bc6c-54f6e96798cb)
2. Евразийский Банк Развития [255] (d0a7ec18-3c0c-4c55-ac3f-c831848a5bc8)
3. Евразийский Банк Развития [255] (3dae62b4-160d-4501-a944-9a9a47812db5)
4. Евразийский Банк Развития [255] (c2835b4c-7418-4ae8-a55c-60cbbf05a706)
5. Евразийский Банк Развития [255] (66cc6990-9d56-4ad5-b7d4-be6573ec5929)</x:v>
      </x:c>
      <x:c r="M22" s="32" t="str">
        <x:v>partner differs: existing 3ceb66d6-1ecf-4ab2-8a98-aa2436b9d0fd vs Жумадилов Бакыт</x:v>
      </x:c>
      <x:c r="N22" s="32" t="str">
        <x:v>Калижан Адилет [assistant_1]
Максутов Данияр [assistant_1]
Нурулла Нугман [assistant_1]
Турлыгазина Дана Ерікқызы [assistant_1]
Хаирбеков Адиль [assistant_1]
Шынгыс Сартаев [partner]
Тайтаразов Максат [assistant_1]</x:v>
      </x:c>
      <x:c r="O22" s="32" t="str">
        <x:v>Жумадилов Бакыт [partner]</x:v>
      </x:c>
      <x:c r="P22" s="33" t="b">
        <x:v>1</x:v>
      </x:c>
      <x:c r="Q22" s="32" t="str">
        <x:v>team_conflict</x:v>
      </x:c>
      <x:c r="R22" s="32" t="str">
        <x:v>merge_team_manually</x:v>
      </x:c>
      <x:c r="S22" s="32" t="str"/>
      <x:c r="T22" s="32" t="str"/>
      <x:c r="U22" s="32" t="str"/>
    </x:row>
    <x:row r="23" ht="42" customHeight="1">
      <x:c r="A23" s="32" t="str">
        <x:v>1 кв проекты 2025 rbi.xlsx::проекты 1 кв 2025::16</x:v>
      </x:c>
      <x:c r="B23" s="32" t="str">
        <x:v>1 кв Проекты 2025_RBI.xlsx</x:v>
      </x:c>
      <x:c r="C23" s="32" t="str">
        <x:v>Проекты 1 кв 2025</x:v>
      </x:c>
      <x:c r="D23" s="32" t="n">
        <x:v>16</x:v>
      </x:c>
      <x:c r="E23" s="32" t="str">
        <x:v>Консолидированная Строительная Горнорудная Компания ТОО</x:v>
      </x:c>
      <x:c r="F23" s="32" t="str">
        <x:v>Аудит ФО</x:v>
      </x:c>
      <x:c r="G23" s="32" t="str">
        <x:v>ТОО Russell Bedford A+ Partners</x:v>
      </x:c>
      <x:c r="H23" s="32" t="str">
        <x:v>conflict</x:v>
      </x:c>
      <x:c r="I23" s="32" t="str">
        <x:v>ТОО «Консолидированная Строительная Горнорудная Компания» - услуг по проведению аудита финансовой отчетности ТОО «Консолидированная Строительная Горнорудная Компания» за 2025 год, подготовленной в соответствии с Международными Стандартами Финансовой Отчетности (МСФО) </x:v>
      </x:c>
      <x:c r="J23" s="32" t="n">
        <x:v>74</x:v>
      </x:c>
      <x:c r="K23" s="32" t="str">
        <x:v>conflict</x:v>
      </x:c>
      <x:c r="L23" s="32" t="str">
        <x:v>1. ТОО «Консолидированная Строительная Горнорудная Компания» - услуг по проведению аудита финансовой отчетности ТОО «Консолидированная Строительная Горнорудная Компания» за 2025 год, подготовленной в соответствии с Международными Стандартами Финансовой Отчетности (МСФО)  [74] (cfd3b502-9253-4dba-96ba-b43f5f399aa7)
2. ТОО «Консолидированная Строительная Горнорудная Компания» [50] (26d3b3fb-b7c3-4ca5-8360-a342f4ef5682)</x:v>
      </x:c>
      <x:c r="M23" s="32" t="str">
        <x:v>partner differs: existing c7fc625d-7836-4eed-90bb-b14541040f42 vs Сейфуллина Гульмира Саятхановна</x:v>
      </x:c>
      <x:c r="N23" s="32" t="str">
        <x:v>Арнабеков Ерлан [partner]</x:v>
      </x:c>
      <x:c r="O23" s="32" t="str">
        <x:v>Арнабеков Ерлан [partner]
Сейфуллина Гульмира Саятхановна [partner]</x:v>
      </x:c>
      <x:c r="P23" s="33" t="b">
        <x:v>0</x:v>
      </x:c>
      <x:c r="Q23" s="32" t="str">
        <x:v>needs_project_match</x:v>
      </x:c>
      <x:c r="R23" s="32" t="str">
        <x:v>choose_existing_project</x:v>
      </x:c>
      <x:c r="S23" s="32" t="str"/>
      <x:c r="T23" s="32" t="str"/>
      <x:c r="U23" s="32" t="str"/>
    </x:row>
    <x:row r="24" ht="42" customHeight="1">
      <x:c r="A24" s="32" t="str">
        <x:v>1 кв проекты 2025 rbi.xlsx::проекты 1 кв 2025::23</x:v>
      </x:c>
      <x:c r="B24" s="32" t="str">
        <x:v>1 кв Проекты 2025_RBI.xlsx</x:v>
      </x:c>
      <x:c r="C24" s="32" t="str">
        <x:v>Проекты 1 кв 2025</x:v>
      </x:c>
      <x:c r="D24" s="32" t="n">
        <x:v>23</x:v>
      </x:c>
      <x:c r="E24" s="32" t="str">
        <x:v>ТОО IC Petroleum</x:v>
      </x:c>
      <x:c r="F24" s="32" t="str">
        <x:v>Аудит ФО</x:v>
      </x:c>
      <x:c r="G24" s="32" t="str">
        <x:v>ТОО Russell Bedford A+ Partners</x:v>
      </x:c>
      <x:c r="H24" s="32" t="str">
        <x:v>exact</x:v>
      </x:c>
      <x:c r="I24" s="32" t="str">
        <x:v>ТОО «IC Petroleum»</x:v>
      </x:c>
      <x:c r="J24" s="32" t="n">
        <x:v>255</x:v>
      </x:c>
      <x:c r="K24" s="32" t="str">
        <x:v>conflict</x:v>
      </x:c>
      <x:c r="L24" s="32" t="str">
        <x:v>1. ТОО «IC Petroleum» [255] (547952f2-2cd6-4295-ba50-57ab7bd6dd90)
2. ТОО «IC Petroleum» [255] (6dee8a60-e159-466f-8d66-851df9d3bd11)
3. ТОО BSG Oil дочка ТОО IC Petroleum - услуги аудита финансовой отчетности  [159] (13072661-b653-4620-85a5-20d630e74fd8)
4. ТОО «IC Petroleum» (за период 2024-2026) [135] (3dac1a32-a0c9-4a40-853b-de6798112d4a)
5. ТОО «IC Petroleum» (за период 2024-2026) [135] (1663f55b-eb10-46c9-9803-d977c3c8e42f)</x:v>
      </x:c>
      <x:c r="M24" s="32" t="str">
        <x:v>partner differs: existing abcc8390-7263-4e9a-aefd-fd177a8509bd vs Арнабеков Ерлан</x:v>
      </x:c>
      <x:c r="N24" s="32" t="str">
        <x:v>Арнабекова Гулшат [manager_1]
Куптлеуова Альбина [assistant_1]
Сейфуллина Гульмира Саятхановна [partner]
Ерлан Худайберген [tax_specialist_1]</x:v>
      </x:c>
      <x:c r="O24" s="32" t="str">
        <x:v>Арнабеков Ерлан [partner]
Сейфуллина Гульмира Саятхановна [partner]</x:v>
      </x:c>
      <x:c r="P24" s="33" t="b">
        <x:v>0</x:v>
      </x:c>
      <x:c r="Q24" s="32" t="str">
        <x:v>team_conflict</x:v>
      </x:c>
      <x:c r="R24" s="32" t="str">
        <x:v>merge_team_manually</x:v>
      </x:c>
      <x:c r="S24" s="32" t="str"/>
      <x:c r="T24" s="32" t="str"/>
      <x:c r="U24" s="32" t="str"/>
    </x:row>
    <x:row r="25" ht="42" customHeight="1">
      <x:c r="A25" s="32" t="str">
        <x:v>1 кв проекты 2025 rbi.xlsx::проекты 1 кв 2025::34</x:v>
      </x:c>
      <x:c r="B25" s="32" t="str">
        <x:v>1 кв Проекты 2025_RBI.xlsx</x:v>
      </x:c>
      <x:c r="C25" s="32" t="str">
        <x:v>Проекты 1 кв 2025</x:v>
      </x:c>
      <x:c r="D25" s="32" t="n">
        <x:v>34</x:v>
      </x:c>
      <x:c r="E25" s="32" t="str">
        <x:v>ТОО Женис Оперейтинг</x:v>
      </x:c>
      <x:c r="F25" s="32" t="str">
        <x:v>Аудит ФО</x:v>
      </x:c>
      <x:c r="G25" s="32" t="str">
        <x:v>ТОО Russell Bedford A+ Partners</x:v>
      </x:c>
      <x:c r="H25" s="32" t="str">
        <x:v>exact</x:v>
      </x:c>
      <x:c r="I25" s="32" t="str">
        <x:v>ТОО Женис Оперейтинг (за период 2023-2025)</x:v>
      </x:c>
      <x:c r="J25" s="32" t="n">
        <x:v>170</x:v>
      </x:c>
      <x:c r="K25" s="32" t="str">
        <x:v>conflict</x:v>
      </x:c>
      <x:c r="L25" s="32" t="str">
        <x:v>1. ТОО Женис Оперейтинг (за период 2023-2025) [170] (2ba8ccf4-86b1-4212-86c0-8737b26d140b)
2. ТОО Женис Оперейтинг (за период 2023-2025) [170] (c21511fc-c43b-47d1-b47e-04b682751abd)
3. ТОО «Аль-Фараби Оперейтинг» [25] (4ffb6df1-3fa9-4362-9182-f8d6ca32dfee)
4. ТОО «Аль-Фараби Оперейтинг» [25] (b3e8dd4c-26ff-4d39-af21-8de208770b43)</x:v>
      </x:c>
      <x:c r="M25" s="32" t="str">
        <x:v>partner differs: existing 3ceb66d6-1ecf-4ab2-8a98-aa2436b9d0fd vs Кенжекулов Адилжан Абдикалыкович</x:v>
      </x:c>
      <x:c r="N25" s="32" t="str">
        <x:v>Куптлеуова Альбина [assistant_1]
Шынгыс Сартаев [partner]</x:v>
      </x:c>
      <x:c r="O25" s="32" t="str">
        <x:v>Кенжекулов Адилжан Абдикалыкович [partner]</x:v>
      </x:c>
      <x:c r="P25" s="33" t="b">
        <x:v>0</x:v>
      </x:c>
      <x:c r="Q25" s="32" t="str">
        <x:v>team_conflict</x:v>
      </x:c>
      <x:c r="R25" s="32" t="str">
        <x:v>merge_team_manually</x:v>
      </x:c>
      <x:c r="S25" s="32" t="str"/>
      <x:c r="T25" s="32" t="str"/>
      <x:c r="U25" s="32" t="str"/>
    </x:row>
    <x:row r="26" ht="42" customHeight="1">
      <x:c r="A26" s="32" t="str">
        <x:v>1 кв проекты 2025 rbi.xlsx::проекты 1 кв 2025::35</x:v>
      </x:c>
      <x:c r="B26" s="32" t="str">
        <x:v>1 кв Проекты 2025_RBI.xlsx</x:v>
      </x:c>
      <x:c r="C26" s="32" t="str">
        <x:v>Проекты 1 кв 2025</x:v>
      </x:c>
      <x:c r="D26" s="32" t="n">
        <x:v>35</x:v>
      </x:c>
      <x:c r="E26" s="32" t="str">
        <x:v>ТОО Казахстанская авиационная индустрия</x:v>
      </x:c>
      <x:c r="F26" s="32" t="str">
        <x:v>Аудит ФО</x:v>
      </x:c>
      <x:c r="G26" s="32" t="str">
        <x:v>ТОО Russell Bedford A+ Partners</x:v>
      </x:c>
      <x:c r="H26" s="32" t="str">
        <x:v>exact</x:v>
      </x:c>
      <x:c r="I26" s="32" t="str">
        <x:v>ТОО КАЗАХСТАНСКАЯ АВИАЦИОННАЯ ИНДУСТРИЯ</x:v>
      </x:c>
      <x:c r="J26" s="32" t="n">
        <x:v>255</x:v>
      </x:c>
      <x:c r="K26" s="32" t="str">
        <x:v>exact</x:v>
      </x:c>
      <x:c r="L26" s="32" t="str">
        <x:v>1. ТОО КАЗАХСТАНСКАЯ АВИАЦИОННАЯ ИНДУСТРИЯ [255] (23e59475-0afb-4947-8517-6a67980942ce)</x:v>
      </x:c>
      <x:c r="M26" s="32" t="str">
        <x:v>partner differs: existing abcc8390-7263-4e9a-aefd-fd177a8509bd vs Арнабеков Ерлан</x:v>
      </x:c>
      <x:c r="N26" s="32" t="str">
        <x:v>Арнабекова Гулшат [manager_1]
Zabira Yerlankyzy [supervisor_1]
Сейфуллина Гульмира Саятхановна [partner]
Ерлан Худайберген [tax_specialist_1]</x:v>
      </x:c>
      <x:c r="O26" s="32" t="str">
        <x:v>Арнабеков Ерлан [partner]
Сейфуллина Гульмира Саятхановна [partner]</x:v>
      </x:c>
      <x:c r="P26" s="33" t="b">
        <x:v>0</x:v>
      </x:c>
      <x:c r="Q26" s="32" t="str">
        <x:v>team_conflict</x:v>
      </x:c>
      <x:c r="R26" s="32" t="str">
        <x:v>merge_team_manually</x:v>
      </x:c>
      <x:c r="S26" s="32" t="str"/>
      <x:c r="T26" s="32" t="str"/>
      <x:c r="U26" s="32" t="str"/>
    </x:row>
    <x:row r="27" ht="42" customHeight="1">
      <x:c r="A27" s="32" t="str">
        <x:v>1 кв проекты 2025 rbi.xlsx::проекты 1 кв 2025::36</x:v>
      </x:c>
      <x:c r="B27" s="32" t="str">
        <x:v>1 кв Проекты 2025_RBI.xlsx</x:v>
      </x:c>
      <x:c r="C27" s="32" t="str">
        <x:v>Проекты 1 кв 2025</x:v>
      </x:c>
      <x:c r="D27" s="32" t="n">
        <x:v>36</x:v>
      </x:c>
      <x:c r="E27" s="32" t="str">
        <x:v>ТОО КазмунайГаз-Аэро</x:v>
      </x:c>
      <x:c r="F27" s="32" t="str">
        <x:v>Аудит ФО</x:v>
      </x:c>
      <x:c r="G27" s="32" t="str">
        <x:v>ТОО Russell Bedford A+ Partners</x:v>
      </x:c>
      <x:c r="H27" s="32" t="str">
        <x:v>exact</x:v>
      </x:c>
      <x:c r="I27" s="32" t="str">
        <x:v>ТОО КазМунайГаз-Аэро</x:v>
      </x:c>
      <x:c r="J27" s="32" t="n">
        <x:v>290</x:v>
      </x:c>
      <x:c r="K27" s="32" t="str">
        <x:v>exact</x:v>
      </x:c>
      <x:c r="L27" s="32" t="str">
        <x:v>1. ТОО КазМунайГаз-Аэро [255] (432fb602-b25e-42d5-b28d-6f16c38f56db)
2. Аудит ФО за 2025 год РГП на ПХВ "Казаэронавигация" [84] (bfe7b659-6cb6-45a7-aa58-0b49860defab)
3. АО «КазМунайГаз-Сервис NS» (за период 2023-2025) [60] (30e2db17-0424-4e0f-8ce4-8ab91b68997f)
4. АО «КазМунайГаз-Сервис NS» (за период 2023-2025) [60] (efa2f844-9f2a-4012-b6dc-2b04eddb28d8)
5. АО «КазМунайГаз-Сервис NS» (за период 2023-2025) [60] (3ec6014d-1150-40d5-8489-d59ac8d4515d)</x:v>
      </x:c>
      <x:c r="M27" s="32" t="str">
        <x:v>partner differs: existing 4cb72e5f-7375-4278-bd38-b29a7e4a197c vs Арнабеков Ерлан</x:v>
      </x:c>
      <x:c r="N27" s="32" t="str">
        <x:v>Боранбай Анар [tax_specialist_1]
Кенжекулов Адилжан Абдикалыкович [partner]</x:v>
      </x:c>
      <x:c r="O27" s="32" t="str">
        <x:v>Арнабеков Ерлан [partner]
Жорабеков Жанибек [manager_2]
Бекжанов Бақытжан Абылқасымұлы [supervisor_1]
Аманов Онгар [assistant_1]
Сагадат Марат [assistant_1]
Акмолдир Омарова [assistant_1]</x:v>
      </x:c>
      <x:c r="P27" s="33" t="b">
        <x:v>1</x:v>
      </x:c>
      <x:c r="Q27" s="32" t="str">
        <x:v>team_conflict</x:v>
      </x:c>
      <x:c r="R27" s="32" t="str">
        <x:v>merge_team_manually</x:v>
      </x:c>
      <x:c r="S27" s="32" t="str"/>
      <x:c r="T27" s="32" t="str"/>
      <x:c r="U27" s="32" t="str"/>
    </x:row>
    <x:row r="28" ht="42" customHeight="1">
      <x:c r="A28" s="32" t="str">
        <x:v>1 кв проекты 2025 rbi.xlsx::проекты 1 кв 2025::49</x:v>
      </x:c>
      <x:c r="B28" s="32" t="str">
        <x:v>1 кв Проекты 2025_RBI.xlsx</x:v>
      </x:c>
      <x:c r="C28" s="32" t="str">
        <x:v>Проекты 1 кв 2025</x:v>
      </x:c>
      <x:c r="D28" s="32" t="n">
        <x:v>49</x:v>
      </x:c>
      <x:c r="E28" s="32" t="str">
        <x:v>АО Национальная Платежная корпорация НБРК</x:v>
      </x:c>
      <x:c r="F28" s="32" t="str">
        <x:v>Аудит ФО</x:v>
      </x:c>
      <x:c r="G28" s="32" t="str">
        <x:v>ТОО Russell Bedford A+ Partners</x:v>
      </x:c>
      <x:c r="H28" s="32" t="str">
        <x:v>probable</x:v>
      </x:c>
      <x:c r="I28" s="32" t="str">
        <x:v>Акционерное общество "Национальная платежная корпорация Национального Банка Республики Казахстан" - АУДИТ за 2024</x:v>
      </x:c>
      <x:c r="J28" s="32" t="n">
        <x:v>85</x:v>
      </x:c>
      <x:c r="K28" s="32" t="str">
        <x:v>not_found</x:v>
      </x:c>
      <x:c r="L28" s="32" t="str">
        <x:v>1. АО «Национальная платежная корпорация Национального Банка Республики Казахстан» [38] (bef2ac7d-ef84-44fe-a70d-3adbbfa9d332)
2. 	АО "Социально-предпринимательская корпорация "Актобе" (за 2024-2026гг) - Закуп услуги по проведению аудита финансовой отчетности за 2024–2025-2026 годы Акционерного общества «Социально-предпринимательская
корпорация «Актобе»
Аудит за 2026 год [27] (e5039b53-76ad-4967-b953-7fbf6fda0939)
3. АО "Социально-предпринимательская корпорация "Актобе" (за 2024-2026гг) - Аудит финансовой отчетности за 2026 год
(Аудит финансовой отчетности за 2024–2025-2026 годы Акционерного общества «Социально-предпринимательская корпорация «Актобе») [27] (76ff2e58-fe2f-4fe2-a387-4a528d39ae94)
4. АО «Социально-предпринимательская корпорация «Astana»  - аудит отдельной и консолидированной финансовой отчетности за 2025 год, подготовленной в соответствии с Международными Стандартами Финансовой Отчетности (МСФО) [27] (b30fa63c-e01d-45b5-8e5c-4c6060528856)
5. АО «Национальная горнорудная компания «Тау-Кен Самрук» (аудит за 2025-2029гг) [15] (bba4e3dd-d508-418f-9c48-23ce65dbc4f9)</x:v>
      </x:c>
      <x:c r="M28" s="32" t="str">
        <x:v>partner differs: existing ba3d0a39-e789-4eed-8890-64dca41dbdd9 vs Арнабеков Ерлан
partner differs: existing ba3d0a39-e789-4eed-8890-64dca41dbdd9 vs Кенжекулов Адилжан Абдикалыкович</x:v>
      </x:c>
      <x:c r="N28" s="32" t="str"/>
      <x:c r="O28" s="32" t="str">
        <x:v>Сауле Бадамбаева [partner]
Нускабаева Райхан [manager_1]
Арнабеков Ерлан [partner]
Чалова Гульжан [manager_1]
Кенжекулов Адилжан Абдикалыкович [partner]
Идрисов Спандияр [assistant_1]
Қасымбек Тинай Асқарқызы [assistant_1]</x:v>
      </x:c>
      <x:c r="P28" s="33" t="b">
        <x:v>0</x:v>
      </x:c>
      <x:c r="Q28" s="32" t="str">
        <x:v>team_conflict</x:v>
      </x:c>
      <x:c r="R28" s="32" t="str">
        <x:v>merge_team_manually</x:v>
      </x:c>
      <x:c r="S28" s="32" t="str"/>
      <x:c r="T28" s="32" t="str"/>
      <x:c r="U28" s="32" t="str"/>
    </x:row>
    <x:row r="29" ht="42" customHeight="1">
      <x:c r="A29" s="32" t="str">
        <x:v>1 кв проекты 2025 rbi.xlsx::проекты 1 кв 2025::89</x:v>
      </x:c>
      <x:c r="B29" s="32" t="str">
        <x:v>1 кв Проекты 2025_RBI.xlsx</x:v>
      </x:c>
      <x:c r="C29" s="32" t="str">
        <x:v>Проекты 1 кв 2025</x:v>
      </x:c>
      <x:c r="D29" s="32" t="n">
        <x:v>89</x:v>
      </x:c>
      <x:c r="E29" s="32" t="str">
        <x:v>ЧК Kazakhstan Investment Development Fund ( KIDF) Management Company Ltd.</x:v>
      </x:c>
      <x:c r="F29" s="32" t="str">
        <x:v>Аудит ФО</x:v>
      </x:c>
      <x:c r="G29" s="32" t="str">
        <x:v>ТОО Russell Bedford A+ Partners</x:v>
      </x:c>
      <x:c r="H29" s="32" t="str">
        <x:v>exact</x:v>
      </x:c>
      <x:c r="I29" s="32" t="str">
        <x:v>«Kazakhstan Investment Development Fund (KIDF) Management Company» Ltd.</x:v>
      </x:c>
      <x:c r="J29" s="32" t="n">
        <x:v>170</x:v>
      </x:c>
      <x:c r="K29" s="32" t="str">
        <x:v>conflict</x:v>
      </x:c>
      <x:c r="L29" s="32" t="str">
        <x:v>1. «Kazakhstan Investment Development Fund (KIDF) Management Company» Ltd. [135] (421319ad-2ba0-4cdc-92af-f94aa4b15c6d)
2. «Kazakhstan Investment Development Fund (KIDF) Management Company» Ltd. [135] (7c2d2e93-8beb-46d1-a67f-447d21c07415)
3. Частная комапания «Kazakhstan Investment Development Fund (KIDF) Management Company»  - Аудит финансовой отчетности (далее – финансовая отчетность) «Direct Investment Fund «Kazakhstan Investment Development Fund (КIDF)» Ltd. (далее – KIDF), подготовленной в соответствии с Международными Стандартами Финансовой Отчетности (далее - МСФО) по состоянию на и за год, завершившийся 31 декабря 2025 года: [109] (63a9c971-6408-41ea-ac6c-63991b4651de)
4. Частная Компания «Kazakhstan Investment Development Fund (KIDF) Management Company» Ltd. - услуги по проведению аудита финансовой отчетности (далее – финансовая отчетность) Частной компании «Kazakhstan Investment Development Fund (KIDF) Management Company» Ltd. (далее – KIDF), подготовленной в соответствии с Международными Стандартами Финансовой Отчетности (далее - МСФО) по состоянию на и за год, завершившийся 31 декабря 2025 года [109] (8a0341c5-d915-4e7d-a535-df88c5ff8c30)
5. 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 [80] (03813a13-459e-4d7f-ac17-8e2d050faccd)</x:v>
      </x:c>
      <x:c r="M29" s="32" t="str">
        <x:v>partner differs: existing 3ceb66d6-1ecf-4ab2-8a98-aa2436b9d0fd vs Кенжекулов Адилжан Абдикалыкович</x:v>
      </x:c>
      <x:c r="N29" s="32" t="str">
        <x:v>Искаков Аскар [assistant_1]
Куптлеуова Альбина [assistant_1]
Сартаева Гаухар Шыныбековна [manager_1]
Шынгыс Сартаев [partner]
Кенжекулов Адилжан Абдикалыкович [project_leader]</x:v>
      </x:c>
      <x:c r="O29" s="32" t="str">
        <x:v>Шынгыс Сартаев [partner]
Кенжекулов Адилжан Абдикалыкович [partner]
Сартаева Гаухар Шыныбековна [manager_1]
Биялиева Тогжан [assistant_1]
Касимова Альбина [assistant_1]</x:v>
      </x:c>
      <x:c r="P29" s="33" t="b">
        <x:v>0</x:v>
      </x:c>
      <x:c r="Q29" s="32" t="str">
        <x:v>team_conflict</x:v>
      </x:c>
      <x:c r="R29" s="32" t="str">
        <x:v>merge_team_manually</x:v>
      </x:c>
      <x:c r="S29" s="32" t="str"/>
      <x:c r="T29" s="32" t="str"/>
      <x:c r="U29" s="32" t="str"/>
    </x:row>
    <x:row r="30" ht="42" customHeight="1">
      <x:c r="A30" s="32" t="str">
        <x:v>1 кв проекты 2025 rbi.xlsx::проекты 1 кв 2025::102</x:v>
      </x:c>
      <x:c r="B30" s="32" t="str">
        <x:v>1 кв Проекты 2025_RBI.xlsx</x:v>
      </x:c>
      <x:c r="C30" s="32" t="str">
        <x:v>Проекты 1 кв 2025</x:v>
      </x:c>
      <x:c r="D30" s="32" t="n">
        <x:v>102</x:v>
      </x:c>
      <x:c r="E30" s="32" t="str">
        <x:v>ТОО Запад Строй Е Р С</x:v>
      </x:c>
      <x:c r="F30" s="32" t="str">
        <x:v>Аудит ФО</x:v>
      </x:c>
      <x:c r="G30" s="32" t="str">
        <x:v>ТОО Russell Bedford A+ Partners</x:v>
      </x:c>
      <x:c r="H30" s="32" t="str">
        <x:v>conflict</x:v>
      </x:c>
      <x:c r="I30" s="32" t="str">
        <x:v>Евразийский фонд стабилизации и развития - аудит финансовой отчетности специального назначения по Проекту «Строительство и материально-техническое оснащение общеобразовательных учреждений в Кыргызской Республике» по состоянию на 31 декабря 2025 года</x:v>
      </x:c>
      <x:c r="J30" s="32" t="n">
        <x:v>84</x:v>
      </x:c>
      <x:c r="K30" s="32" t="str">
        <x:v>not_found</x:v>
      </x:c>
      <x:c r="L30" s="32" t="str">
        <x:v>1. ТОО «Отау-Строй» [25] (683ed7ac-836f-4868-abec-bf09ac9a3cc7)
2. ТОО Нефтестройсервис ЛТД [25] (bfb5e910-ff64-4369-8c9a-c478cc2f4b50)
3. ТОО Промстрой - Энерго [25] (ff06eefc-a22c-4984-a1d6-154c33e58ee8)
4. ТОО ЭлектроСтройМонтаж [25] (55622189-3858-4b66-b7aa-43d88acfd72c)</x:v>
      </x:c>
      <x:c r="M30" s="32" t="str">
        <x:v>partner differs: existing 3ceb66d6-1ecf-4ab2-8a98-aa2436b9d0fd vs Кудайбергенова Шолпанай</x:v>
      </x:c>
      <x:c r="N30" s="32" t="str"/>
      <x:c r="O30" s="32" t="str">
        <x:v>Кудайбергенова Шолпанай [partner]</x:v>
      </x:c>
      <x:c r="P30" s="33" t="b">
        <x:v>0</x:v>
      </x:c>
      <x:c r="Q30" s="32" t="str">
        <x:v>needs_project_match</x:v>
      </x:c>
      <x:c r="R30" s="32" t="str">
        <x:v>choose_existing_project</x:v>
      </x:c>
      <x:c r="S30" s="32" t="str"/>
      <x:c r="T30" s="32" t="str"/>
      <x:c r="U30" s="32" t="str"/>
    </x:row>
    <x:row r="31" ht="42" customHeight="1">
      <x:c r="A31" s="32" t="str">
        <x:v>1 кв проекты 2025 rbi.xlsx::проекты 1 кв 2025::111</x:v>
      </x:c>
      <x:c r="B31" s="32" t="str">
        <x:v>1 кв Проекты 2025_RBI.xlsx</x:v>
      </x:c>
      <x:c r="C31" s="32" t="str">
        <x:v>Проекты 1 кв 2025</x:v>
      </x:c>
      <x:c r="D31" s="32" t="n">
        <x:v>111</x:v>
      </x:c>
      <x:c r="E31" s="32" t="str">
        <x:v>ТОО Баспана Алматы</x:v>
      </x:c>
      <x:c r="F31" s="32" t="str">
        <x:v>Аудит ФО</x:v>
      </x:c>
      <x:c r="G31" s="32" t="str">
        <x:v>ТОО Russell Bedford A+ Partners</x:v>
      </x:c>
      <x:c r="H31" s="32" t="str">
        <x:v>probable</x:v>
      </x:c>
      <x:c r="I31" s="32" t="str">
        <x:v>ТОО Алматыэлектротранс - Аудит финансовой отчетности за 2025-2027 годы</x:v>
      </x:c>
      <x:c r="J31" s="32" t="n">
        <x:v>84</x:v>
      </x:c>
      <x:c r="K31" s="32" t="str">
        <x:v>probable</x:v>
      </x:c>
      <x:c r="L31" s="32" t="str">
        <x:v>1. ТОО Алматыэлектротранс - Аудит финансовой отчетности за 2025-2027 годы [84] (07cbfdac-d340-4ee4-87a6-c34b4efba19c)
2. СПК АЛМАТЫ+ 6 ДОЧЕК. ОТДЕЛЬНЫЕ И КОНС. - АУДИТ за 2024 [72] (b973748e-753c-4996-b5cb-c08cfd4e8428)
3. АО НК СПК Алматы (за период 2023-2025) [60] (c72e0a29-5183-420d-86f6-51312b5d2684)
4. АО НК СПК Алматы (за период 2023-2025) [60] (3b94c880-12ec-46ca-8e48-c9ebdb14dd78)
5. АО НК СПК Алматы (за период 2023-2025) [60] (3d78d510-7736-41f2-b709-adf74c1d4638)</x:v>
      </x:c>
      <x:c r="M31" s="32" t="str">
        <x:v>partner differs: existing ba3d0a39-e789-4eed-8890-64dca41dbdd9, 64bedf5b-cd47-4476-b7ae-89c1488e21be, c7fc625d-7836-4eed-90bb-b14541040f42 vs Кудайбергенова Шолпанай</x:v>
      </x:c>
      <x:c r="N31" s="32" t="str">
        <x:v>Сауле Бадамбаева [partner]
Ержан Тумабеков [partner]
Арнабеков Ерлан [partner]
Сейфуллина Гульмира Саятхановна [project_leader]</x:v>
      </x:c>
      <x:c r="O31" s="32" t="str">
        <x:v>Кудайбергенова Шолпанай [partner]</x:v>
      </x:c>
      <x:c r="P31" s="33" t="b">
        <x:v>1</x:v>
      </x:c>
      <x:c r="Q31" s="32" t="str">
        <x:v>team_conflict</x:v>
      </x:c>
      <x:c r="R31" s="32" t="str">
        <x:v>merge_team_manually</x:v>
      </x:c>
      <x:c r="S31" s="32" t="str"/>
      <x:c r="T31" s="32" t="str"/>
      <x:c r="U31" s="32" t="str"/>
    </x:row>
    <x:row r="32" ht="42" customHeight="1">
      <x:c r="A32" s="32" t="str">
        <x:v>1 кв проекты 2025 rbi.xlsx::проекты 1 кв 2025::113</x:v>
      </x:c>
      <x:c r="B32" s="32" t="str">
        <x:v>1 кв Проекты 2025_RBI.xlsx</x:v>
      </x:c>
      <x:c r="C32" s="32" t="str">
        <x:v>Проекты 1 кв 2025</x:v>
      </x:c>
      <x:c r="D32" s="32" t="n">
        <x:v>113</x:v>
      </x:c>
      <x:c r="E32" s="32" t="str">
        <x:v>ТОО Salem social media</x:v>
      </x:c>
      <x:c r="F32" s="32" t="str">
        <x:v>Аудит ФО</x:v>
      </x:c>
      <x:c r="G32" s="32" t="str">
        <x:v>ТОО Russell Bedford A+ Partners</x:v>
      </x:c>
      <x:c r="H32" s="32" t="str">
        <x:v>exact</x:v>
      </x:c>
      <x:c r="I32" s="32" t="str">
        <x:v>ТОО «Salem social media»</x:v>
      </x:c>
      <x:c r="J32" s="32" t="n">
        <x:v>290</x:v>
      </x:c>
      <x:c r="K32" s="32" t="str">
        <x:v>conflict</x:v>
      </x:c>
      <x:c r="L32" s="32" t="str">
        <x:v>1. ТОО «Salem social media» [255] (f17b7360-e3d8-4cc7-ae16-6c9afe1b771e)
2. ТОО «Salem social media» [255] (12629335-fbc1-4da8-a9c5-7d40d5c3128b)
3. ТОО «Salem social media» [255] (8e87a143-2d8d-476c-aac2-fa78adaba8dd)</x:v>
      </x:c>
      <x:c r="M32" s="32" t="str">
        <x:v>partner differs: existing 4cb72e5f-7375-4278-bd38-b29a7e4a197c vs Арнабеков Ерлан</x:v>
      </x:c>
      <x:c r="N32" s="32" t="str">
        <x:v>Кенжекулов Адилжан Абдикалыкович [partner]</x:v>
      </x:c>
      <x:c r="O32" s="32" t="str">
        <x:v>Арнабеков Ерлан [partner]
Жаркымбекова Камиля [assistant_1]</x:v>
      </x:c>
      <x:c r="P32" s="33" t="b">
        <x:v>1</x:v>
      </x:c>
      <x:c r="Q32" s="32" t="str">
        <x:v>team_conflict</x:v>
      </x:c>
      <x:c r="R32" s="32" t="str">
        <x:v>merge_team_manually</x:v>
      </x:c>
      <x:c r="S32" s="32" t="str"/>
      <x:c r="T32" s="32" t="str"/>
      <x:c r="U32" s="32" t="str"/>
    </x:row>
    <x:row r="33" ht="42" customHeight="1">
      <x:c r="A33" s="32" t="str">
        <x:v>1 кв проекты 2026 rbi.xlsx::проекты 1 кв 2026::13</x:v>
      </x:c>
      <x:c r="B33" s="32" t="str">
        <x:v>1 кв Проекты 2026_RBI.xlsx</x:v>
      </x:c>
      <x:c r="C33" s="32" t="str">
        <x:v>Проекты 1 кв 2026</x:v>
      </x:c>
      <x:c r="D33" s="32" t="n">
        <x:v>13</x:v>
      </x:c>
      <x:c r="E33" s="32" t="str">
        <x:v>АО ШалкияЦинк ЛТД</x:v>
      </x:c>
      <x:c r="F33" s="32" t="str"/>
      <x:c r="G33" s="32" t="str"/>
      <x:c r="H33" s="32" t="str">
        <x:v>exact</x:v>
      </x:c>
      <x:c r="I33" s="32" t="str">
        <x:v>АО «АО «ШалкияЦинк ЛТД» (аудит за 2025-2029гг)</x:v>
      </x:c>
      <x:c r="J33" s="32" t="n">
        <x:v>170</x:v>
      </x:c>
      <x:c r="K33" s="32" t="str">
        <x:v>conflict</x:v>
      </x:c>
      <x:c r="L33" s="32" t="str">
        <x:v>1. АО «АО «ШалкияЦинк ЛТД» (аудит за 2025-2029гг) [170] (5c119f5c-1953-4a3d-b41c-99cd8e55ff25)
2. АО «АО «ШалкияЦинк ЛТД» (аудит за 2025-2029гг) [170] (6eaad206-91a4-491d-9509-1ea722086f95)
3. АО «АО «ШалкияЦинк ЛТД» (аудит за 2025-2029гг) [170] (03eab8d5-0afd-469f-8cbe-c6994222690f)
4. АО «АО «ШалкияЦинк ЛТД» (аудит за 2025-2029гг) [170] (d8d5fef0-1708-4986-9a1d-06a60826b076)
5. АО «АО «ШалкияЦинк ЛТД» (аудит за 2025-2029гг) [170] (c99ea152-2850-4ef9-906b-98b96c8faa86)</x:v>
      </x:c>
      <x:c r="M33" s="32" t="str">
        <x:v>partner differs: existing ba3d0a39-e789-4eed-8890-64dca41dbdd9 vs Кенжекулов Адилжан Абдикалыкович</x:v>
      </x:c>
      <x:c r="N33" s="32" t="str">
        <x:v>Аманов Онгар [assistant_1]
Алдонгаров Газиз Сериккалиевич [manager_1]
Сауле Бадамбаева [partner]
Бекжанов Бақытжан Абылқасымұлы [supervisor_1]
Молдабаев Бауыржан Казыбекович [assistant_1]
Сартаева Гаухар Шыныбековна [manager_1]
Саукымбек Руслан [assistant_2]
Кенжебек Мая Тельманкызы [manager_1]
Ерлан Худайберген [tax_specialist_1]</x:v>
      </x:c>
      <x:c r="O33" s="32" t="str">
        <x:v>Кенжекулов Адилжан Абдикалыкович [partner]
Сартаева Гаухар Шыныбековна [project_leader]</x:v>
      </x:c>
      <x:c r="P33" s="33" t="b">
        <x:v>0</x:v>
      </x:c>
      <x:c r="Q33" s="32" t="str">
        <x:v>team_conflict</x:v>
      </x:c>
      <x:c r="R33" s="32" t="str">
        <x:v>merge_team_manually</x:v>
      </x:c>
      <x:c r="S33" s="32" t="str"/>
      <x:c r="T33" s="32" t="str"/>
      <x:c r="U33" s="32" t="str"/>
    </x:row>
    <x:row r="34" ht="42" customHeight="1">
      <x:c r="A34" s="32" t="str">
        <x:v>1 кв проекты 2026 rbi.xlsx::проекты 1 кв 2026::14</x:v>
      </x:c>
      <x:c r="B34" s="32" t="str">
        <x:v>1 кв Проекты 2026_RBI.xlsx</x:v>
      </x:c>
      <x:c r="C34" s="32" t="str">
        <x:v>Проекты 1 кв 2026</x:v>
      </x:c>
      <x:c r="D34" s="32" t="n">
        <x:v>14</x:v>
      </x:c>
      <x:c r="E34" s="32" t="str">
        <x:v>Евразийский Банк Развития</x:v>
      </x:c>
      <x:c r="F34" s="32" t="str"/>
      <x:c r="G34" s="32" t="str"/>
      <x:c r="H34" s="32" t="str">
        <x:v>exact</x:v>
      </x:c>
      <x:c r="I34" s="32" t="str">
        <x:v>Евразийский Банк Развития</x:v>
      </x:c>
      <x:c r="J34" s="32" t="n">
        <x:v>290</x:v>
      </x:c>
      <x:c r="K34" s="32" t="str">
        <x:v>conflict</x:v>
      </x:c>
      <x:c r="L34" s="32" t="str">
        <x:v>1. Евразийский Банк Развития [255] (6b9d0d63-3bee-4644-bc6c-54f6e96798cb)
2. Евразийский Банк Развития [255] (d0a7ec18-3c0c-4c55-ac3f-c831848a5bc8)
3. Евразийский Банк Развития [255] (3dae62b4-160d-4501-a944-9a9a47812db5)
4. Евразийский Банк Развития [255] (c2835b4c-7418-4ae8-a55c-60cbbf05a706)
5. Евразийский Банк Развития [255] (66cc6990-9d56-4ad5-b7d4-be6573ec5929)</x:v>
      </x:c>
      <x:c r="M34" s="32" t="str">
        <x:v>partner differs: existing 3ceb66d6-1ecf-4ab2-8a98-aa2436b9d0fd vs Кудайбергенова Шолпанай</x:v>
      </x:c>
      <x:c r="N34" s="32" t="str">
        <x:v>Калижан Адилет [assistant_1]
Максутов Данияр [assistant_1]
Нурулла Нугман [assistant_1]
Турлыгазина Дана Ерікқызы [assistant_1]
Хаирбеков Адиль [assistant_1]
Шынгыс Сартаев [partner]
Тайтаразов Максат [assistant_1]</x:v>
      </x:c>
      <x:c r="O34" s="32" t="str">
        <x:v>Кудайбергенова Шолпанай [partner]</x:v>
      </x:c>
      <x:c r="P34" s="33" t="b">
        <x:v>1</x:v>
      </x:c>
      <x:c r="Q34" s="32" t="str">
        <x:v>team_conflict</x:v>
      </x:c>
      <x:c r="R34" s="32" t="str">
        <x:v>merge_team_manually</x:v>
      </x:c>
      <x:c r="S34" s="32" t="str"/>
      <x:c r="T34" s="32" t="str"/>
      <x:c r="U34" s="32" t="str"/>
    </x:row>
    <x:row r="35" ht="42" customHeight="1">
      <x:c r="A35" s="32" t="str">
        <x:v>1 кв проекты 2026 rbi.xlsx::проекты 1 кв 2026::17</x:v>
      </x:c>
      <x:c r="B35" s="32" t="str">
        <x:v>1 кв Проекты 2026_RBI.xlsx</x:v>
      </x:c>
      <x:c r="C35" s="32" t="str">
        <x:v>Проекты 1 кв 2026</x:v>
      </x:c>
      <x:c r="D35" s="32" t="n">
        <x:v>17</x:v>
      </x:c>
      <x:c r="E35" s="32" t="str">
        <x:v>Консолидированная Строительная Горнорудная Компания ТОО</x:v>
      </x:c>
      <x:c r="F35" s="32" t="str"/>
      <x:c r="G35" s="32" t="str"/>
      <x:c r="H35" s="32" t="str">
        <x:v>conflict</x:v>
      </x:c>
      <x:c r="I35" s="32" t="str">
        <x:v>ТОО «Консолидированная Строительная Горнорудная Компания»</x:v>
      </x:c>
      <x:c r="J35" s="32" t="n">
        <x:v>85</x:v>
      </x:c>
      <x:c r="K35" s="32" t="str">
        <x:v>probable</x:v>
      </x:c>
      <x:c r="L35" s="32" t="str">
        <x:v>1. ТОО «Консолидированная Строительная Горнорудная Компания» - услуг по проведению аудита финансовой отчетности ТОО «Консолидированная Строительная Горнорудная Компания» за 2025 год, подготовленной в соответствии с Международными Стандартами Финансовой Отчетности (МСФО)  [85] (cfd3b502-9253-4dba-96ba-b43f5f399aa7)
2. ТОО «Консолидированная Строительная Горнорудная Компания» [50] (26d3b3fb-b7c3-4ca5-8360-a342f4ef5682)
3. АО «Национальная горнорудная компания «Тау-Кен Самрук» (аудит за 2025-2029гг) [7] (bba4e3dd-d508-418f-9c48-23ce65dbc4f9)
4. АО «Национальная горнорудная компания «Тау-Кен Самрук» (аудит за 2025-2029гг) [7] (2eb886af-107b-45b1-be4d-7fad12337505)
5. АО «Национальная горнорудная компания «Тау-Кен Самрук» (аудит за 2025-2029гг) [7] (44ca9c70-7135-43bc-bb8e-17a1f714cd77)</x:v>
      </x:c>
      <x:c r="M35" s="32" t="str">
        <x:v>partner differs: existing 4cb72e5f-7375-4278-bd38-b29a7e4a197c vs Арнабеков Ерлан
project leader differs: existing 967d77e8-774f-4a9a-a5db-37c33e6dc729 vs Сейфуллина Гульмира Саятхановна</x:v>
      </x:c>
      <x:c r="N35" s="32" t="str">
        <x:v>Арнабеков Ерлан [partner]</x:v>
      </x:c>
      <x:c r="O35" s="32" t="str">
        <x:v>Арнабеков Ерлан [partner]
Сейфуллина Гульмира Саятхановна [project_leader]</x:v>
      </x:c>
      <x:c r="P35" s="33" t="b">
        <x:v>0</x:v>
      </x:c>
      <x:c r="Q35" s="32" t="str">
        <x:v>needs_project_match</x:v>
      </x:c>
      <x:c r="R35" s="32" t="str">
        <x:v>choose_existing_project</x:v>
      </x:c>
      <x:c r="S35" s="32" t="str"/>
      <x:c r="T35" s="32" t="str"/>
      <x:c r="U35" s="32" t="str"/>
    </x:row>
    <x:row r="36" ht="42" customHeight="1">
      <x:c r="A36" s="32" t="str">
        <x:v>1 кв проекты 2026 rbi.xlsx::проекты 1 кв 2026::26</x:v>
      </x:c>
      <x:c r="B36" s="32" t="str">
        <x:v>1 кв Проекты 2026_RBI.xlsx</x:v>
      </x:c>
      <x:c r="C36" s="32" t="str">
        <x:v>Проекты 1 кв 2026</x:v>
      </x:c>
      <x:c r="D36" s="32" t="n">
        <x:v>26</x:v>
      </x:c>
      <x:c r="E36" s="32" t="str">
        <x:v>ТОО IC Petroleum</x:v>
      </x:c>
      <x:c r="F36" s="32" t="str"/>
      <x:c r="G36" s="32" t="str"/>
      <x:c r="H36" s="32" t="str">
        <x:v>exact</x:v>
      </x:c>
      <x:c r="I36" s="32" t="str">
        <x:v>ТОО «IC Petroleum»</x:v>
      </x:c>
      <x:c r="J36" s="32" t="n">
        <x:v>290</x:v>
      </x:c>
      <x:c r="K36" s="32" t="str">
        <x:v>conflict</x:v>
      </x:c>
      <x:c r="L36" s="32" t="str">
        <x:v>1. ТОО «IC Petroleum» [255] (547952f2-2cd6-4295-ba50-57ab7bd6dd90)
2. ТОО «IC Petroleum» [255] (6dee8a60-e159-466f-8d66-851df9d3bd11)
3. ТОО «IC Petroleum» (за период 2024-2026) [170] (3dac1a32-a0c9-4a40-853b-de6798112d4a)
4. ТОО «IC Petroleum» (за период 2024-2026) [170] (1663f55b-eb10-46c9-9803-d977c3c8e42f)
5. ТОО «IC Petroleum» (за период 2024-2026) [170] (24a32f15-50a8-41c1-ab6b-156413222b90)</x:v>
      </x:c>
      <x:c r="M36" s="32" t="str">
        <x:v>partner differs: existing abcc8390-7263-4e9a-aefd-fd177a8509bd vs Арнабеков Ерлан</x:v>
      </x:c>
      <x:c r="N36" s="32" t="str">
        <x:v>Арнабекова Гулшат [manager_1]
Куптлеуова Альбина [assistant_1]
Сейфуллина Гульмира Саятхановна [partner]
Ерлан Худайберген [tax_specialist_1]</x:v>
      </x:c>
      <x:c r="O36" s="32" t="str">
        <x:v>Арнабеков Ерлан [partner]
Сейфуллина Гульмира Саятхановна [project_leader]</x:v>
      </x:c>
      <x:c r="P36" s="33" t="b">
        <x:v>0</x:v>
      </x:c>
      <x:c r="Q36" s="32" t="str">
        <x:v>team_conflict</x:v>
      </x:c>
      <x:c r="R36" s="32" t="str">
        <x:v>merge_team_manually</x:v>
      </x:c>
      <x:c r="S36" s="32" t="str"/>
      <x:c r="T36" s="32" t="str"/>
      <x:c r="U36" s="32" t="str"/>
    </x:row>
    <x:row r="37" ht="42" customHeight="1">
      <x:c r="A37" s="32" t="str">
        <x:v>1 кв проекты 2026 rbi.xlsx::проекты 1 кв 2026::27</x:v>
      </x:c>
      <x:c r="B37" s="32" t="str">
        <x:v>1 кв Проекты 2026_RBI.xlsx</x:v>
      </x:c>
      <x:c r="C37" s="32" t="str">
        <x:v>Проекты 1 кв 2026</x:v>
      </x:c>
      <x:c r="D37" s="32" t="n">
        <x:v>27</x:v>
      </x:c>
      <x:c r="E37" s="32" t="str">
        <x:v>ТОО Oil Construction Company</x:v>
      </x:c>
      <x:c r="F37" s="32" t="str"/>
      <x:c r="G37" s="32" t="str"/>
      <x:c r="H37" s="32" t="str">
        <x:v>conflict</x:v>
      </x:c>
      <x:c r="I37" s="32" t="str">
        <x:v>ТОО «Oil Construction Company» (за период 2022-2024)</x:v>
      </x:c>
      <x:c r="J37" s="32" t="n">
        <x:v>170</x:v>
      </x:c>
      <x:c r="K37" s="32" t="str">
        <x:v>conflict</x:v>
      </x:c>
      <x:c r="L37" s="32" t="str">
        <x:v>1. ТОО «Oil Construction Company» (за период 2025-2027) [170] (0629f630-5092-4e09-8b63-84ea343c288f)
2. ТОО «Oil Construction Company» (за период 2025-2027) [170] (9c7b15cc-50c0-469a-8d68-63d21ba942bd)
3. ТОО «Oil Construction Company» (за период 2025-2027) [170] (6a0c7388-724d-445c-a66b-35d6dd3927e1)
4. ТОО «Oil Construction Company» (за период 2025-2027) [170] (0ff73995-042e-4a65-902b-cc866c4d638e)
5. ТОО «Oil Construction Company» (за период 2025-2027) [170] (825e3e6f-ce36-4155-a509-4e9316f05ac3)</x:v>
      </x:c>
      <x:c r="M37" s="32" t="str">
        <x:v>partner differs: existing 4cb72e5f-7375-4278-bd38-b29a7e4a197c vs Сауле Бадамбаева</x:v>
      </x:c>
      <x:c r="N37" s="32" t="str">
        <x:v>Сауле Бадамбаева [partner]
Куандыкова Жанар Ерлановна [tax_specialist_2]
Нускабаева Райхан [manager_1]
Турлыгазина Дана Ерікқызы [assistant_1]
Қасымбек Тинай Асқарқызы [assistant_1]</x:v>
      </x:c>
      <x:c r="O37" s="32" t="str">
        <x:v>Сауле Бадамбаева [partner]</x:v>
      </x:c>
      <x:c r="P37" s="33" t="b">
        <x:v>0</x:v>
      </x:c>
      <x:c r="Q37" s="32" t="str">
        <x:v>needs_project_match</x:v>
      </x:c>
      <x:c r="R37" s="32" t="str">
        <x:v>choose_existing_project</x:v>
      </x:c>
      <x:c r="S37" s="32" t="str"/>
      <x:c r="T37" s="32" t="str"/>
      <x:c r="U37" s="32" t="str"/>
    </x:row>
    <x:row r="38" ht="42" customHeight="1">
      <x:c r="A38" s="32" t="str">
        <x:v>1 кв проекты 2026 rbi.xlsx::проекты 1 кв 2026::36</x:v>
      </x:c>
      <x:c r="B38" s="32" t="str">
        <x:v>1 кв Проекты 2026_RBI.xlsx</x:v>
      </x:c>
      <x:c r="C38" s="32" t="str">
        <x:v>Проекты 1 кв 2026</x:v>
      </x:c>
      <x:c r="D38" s="32" t="n">
        <x:v>36</x:v>
      </x:c>
      <x:c r="E38" s="32" t="str">
        <x:v>ТОО Реда Материалы</x:v>
      </x:c>
      <x:c r="F38" s="32" t="str"/>
      <x:c r="G38" s="32" t="str"/>
      <x:c r="H38" s="32" t="str">
        <x:v>exact</x:v>
      </x:c>
      <x:c r="I38" s="32" t="str">
        <x:v>ТОО «РЕДА МАТЕРИАЛЫ»</x:v>
      </x:c>
      <x:c r="J38" s="32" t="n">
        <x:v>290</x:v>
      </x:c>
      <x:c r="K38" s="32" t="str">
        <x:v>exact</x:v>
      </x:c>
      <x:c r="L38" s="32" t="str">
        <x:v>1. ТОО «РЕДА МАТЕРИАЛЫ» [255] (2dc52a84-895d-486e-be95-1f6b4b0cb241)
2. Публичная компания «Qazaq Green Power PLC» - оценка рыночной стоимости 100 % доли юридического лица ТОО «Теплоэнергомаш» (БИН 971240003543) для его дальнейшей передачи в собственность Публичной компании «Qazaq Green Power PLC» [25] (2d0a1def-10be-4533-8b6c-c6e1e34c473a)</x:v>
      </x:c>
      <x:c r="M38" s="32" t="str">
        <x:v>partner differs: existing c7fc625d-7836-4eed-90bb-b14541040f42 vs Кудайбергенова Шолпанай</x:v>
      </x:c>
      <x:c r="N38" s="32" t="str">
        <x:v>Ембердиев Ермек [manager_1]
Арнабеков Ерлан [partner]</x:v>
      </x:c>
      <x:c r="O38" s="32" t="str">
        <x:v>Кудайбергенова Шолпанай [partner]
Ембердиев Ермек [project_leader]</x:v>
      </x:c>
      <x:c r="P38" s="33" t="b">
        <x:v>1</x:v>
      </x:c>
      <x:c r="Q38" s="32" t="str">
        <x:v>team_conflict</x:v>
      </x:c>
      <x:c r="R38" s="32" t="str">
        <x:v>merge_team_manually</x:v>
      </x:c>
      <x:c r="S38" s="32" t="str"/>
      <x:c r="T38" s="32" t="str"/>
      <x:c r="U38" s="32" t="str"/>
    </x:row>
    <x:row r="39" ht="42" customHeight="1">
      <x:c r="A39" s="32" t="str">
        <x:v>1 кв проекты 2026 rbi.xlsx::проекты 1 кв 2026::37</x:v>
      </x:c>
      <x:c r="B39" s="32" t="str">
        <x:v>1 кв Проекты 2026_RBI.xlsx</x:v>
      </x:c>
      <x:c r="C39" s="32" t="str">
        <x:v>Проекты 1 кв 2026</x:v>
      </x:c>
      <x:c r="D39" s="32" t="n">
        <x:v>37</x:v>
      </x:c>
      <x:c r="E39" s="32" t="str">
        <x:v>ТОО Самсон Контролс</x:v>
      </x:c>
      <x:c r="F39" s="32" t="str"/>
      <x:c r="G39" s="32" t="str"/>
      <x:c r="H39" s="32" t="str">
        <x:v>exact</x:v>
      </x:c>
      <x:c r="I39" s="32" t="str">
        <x:v>ТОО «Самсон Контролс»</x:v>
      </x:c>
      <x:c r="J39" s="32" t="n">
        <x:v>290</x:v>
      </x:c>
      <x:c r="K39" s="32" t="str">
        <x:v>exact</x:v>
      </x:c>
      <x:c r="L39" s="32" t="str">
        <x:v>1. ТОО «Самсон Контролс» [255] (e9aa54d3-a0e9-4de7-8763-156c0d4bb201)
2. ТОО «Самсон Контролс»  - аудит финансовой отчетности дочерней компании SAMSON в Казахстане за год, закончившийся 31 декабря 2025 года, в соответствии с местными стандартами  [170] (cb429f10-8d51-425a-9496-ab4c96218a4b)
3. ТОО «Самсон Контролс»  - аудит финансовой отчетности дочерней компании SAMSON в Казахстане за год, закончившийся 31 декабря 2025 года, в соответствии с местными стандартами  [170] (1ba4bd06-f522-4562-93b1-9cd21cafd321)</x:v>
      </x:c>
      <x:c r="M39" s="32" t="str">
        <x:v>partner differs: existing 6d356324-96a9-4eed-a832-f10f9588d5b7 vs Арнабеков Ерлан</x:v>
      </x:c>
      <x:c r="N39" s="32" t="str">
        <x:v>Zhorabekov Zhanibek [manager_2]
Мухашев Куаныш Кудашулы [partner]</x:v>
      </x:c>
      <x:c r="O39" s="32" t="str">
        <x:v>Арнабеков Ерлан [partner]
Мухашев Куаныш Кудашулы [project_leader]</x:v>
      </x:c>
      <x:c r="P39" s="33" t="b">
        <x:v>0</x:v>
      </x:c>
      <x:c r="Q39" s="32" t="str">
        <x:v>team_conflict</x:v>
      </x:c>
      <x:c r="R39" s="32" t="str">
        <x:v>merge_team_manually</x:v>
      </x:c>
      <x:c r="S39" s="32" t="str"/>
      <x:c r="T39" s="32" t="str"/>
      <x:c r="U39" s="32" t="str"/>
    </x:row>
    <x:row r="40" ht="42" customHeight="1">
      <x:c r="A40" s="32" t="str">
        <x:v>1 кв проекты 2026 rbi.xlsx::проекты 1 кв 2026::40</x:v>
      </x:c>
      <x:c r="B40" s="32" t="str">
        <x:v>1 кв Проекты 2026_RBI.xlsx</x:v>
      </x:c>
      <x:c r="C40" s="32" t="str">
        <x:v>Проекты 1 кв 2026</x:v>
      </x:c>
      <x:c r="D40" s="32" t="n">
        <x:v>40</x:v>
      </x:c>
      <x:c r="E40" s="32" t="str">
        <x:v>ТОО Специальная финансовая компания СМК ФФ-2</x:v>
      </x:c>
      <x:c r="F40" s="32" t="str"/>
      <x:c r="G40" s="32" t="str"/>
      <x:c r="H40" s="32" t="str">
        <x:v>conflict</x:v>
      </x:c>
      <x:c r="I40" s="32" t="str">
        <x:v>ТОО «Специальная финансовая компания «СМК ФФ-2» - Freedom</x:v>
      </x:c>
      <x:c r="J40" s="32" t="n">
        <x:v>170</x:v>
      </x:c>
      <x:c r="K40" s="32" t="str">
        <x:v>exact</x:v>
      </x:c>
      <x:c r="L40" s="32" t="str">
        <x:v>1. ТОО «Специальная финансовая компания «СМК ФФ-2» - Аудит финансовой отчетности за период с 01 января 2025 года по 31 декабря 2025 года, подготовленной в соответствии с Международными Стандартами Финансовой Отчетности финансовой отчетности [170] (3d9410d1-34bc-4de3-bac5-122ee6b0730c)
2. ТОО «Специальная финансовая компания «СМК ФФ-2» - Freedom [135] (90c9daa2-70ed-43ae-b059-cc5f30d5318a)
3. ТОО «Специальная финансовая компания «СМК ФФ-1»  - аудит финансовой отчетности за отчетный год, исчисляемый с 01 января по 31 декабря 2025, подготовленной в соответствии с Международными Стандартами Финансовой Отчетности (МСФО)  [85] (72104e24-2b47-43e8-ac55-4cf6ffb7a9a5)
4. ТОО «Специальная финансовая компания «PARTNER GROUP»  - услуг по проведению аудита финансовой отчетности ТОО «Специальная финансовая компания PARTNER GROUP, за 2025 год [60] (d52f9b7f-56ed-47c6-b38c-e4f031d01fb4)
5. ТОО «Специальная финансовая компания «СМК ФФ-1» - Freedom [50] (944fe674-242a-4933-a69e-685696e04c18)</x:v>
      </x:c>
      <x:c r="M40" s="32" t="str">
        <x:v>partner differs: existing 4cb72e5f-7375-4278-bd38-b29a7e4a197c vs Шынгыс Сартаев</x:v>
      </x:c>
      <x:c r="N40" s="32" t="str"/>
      <x:c r="O40" s="32" t="str">
        <x:v>Шынгыс Сартаев [partner]
Молдабаев Бауыржан Казыбекович [project_leader]</x:v>
      </x:c>
      <x:c r="P40" s="33" t="b">
        <x:v>0</x:v>
      </x:c>
      <x:c r="Q40" s="32" t="str">
        <x:v>needs_project_match</x:v>
      </x:c>
      <x:c r="R40" s="32" t="str">
        <x:v>choose_existing_project</x:v>
      </x:c>
      <x:c r="S40" s="32" t="str"/>
      <x:c r="T40" s="32" t="str"/>
      <x:c r="U40" s="32" t="str"/>
    </x:row>
    <x:row r="41" ht="42" customHeight="1">
      <x:c r="A41" s="32" t="str">
        <x:v>2 кв проекты 2024 rbi.xlsx::проекты 2 кв 2024::27</x:v>
      </x:c>
      <x:c r="B41" s="32" t="str">
        <x:v>2 кв Проекты 2024_RBI.xlsx</x:v>
      </x:c>
      <x:c r="C41" s="32" t="str">
        <x:v>Проекты 2 кв 2024 </x:v>
      </x:c>
      <x:c r="D41" s="32" t="n">
        <x:v>27</x:v>
      </x:c>
      <x:c r="E41" s="32" t="str">
        <x:v>ТОО Fin Q</x:v>
      </x:c>
      <x:c r="F41" s="32" t="str">
        <x:v>Аудит ФО</x:v>
      </x:c>
      <x:c r="G41" s="32" t="str">
        <x:v>IAC Russell Bedford A+ Partners LLP</x:v>
      </x:c>
      <x:c r="H41" s="32" t="str">
        <x:v>probable</x:v>
      </x:c>
      <x:c r="I41" s="32" t="str">
        <x:v>ТОО «Микрофинансовая организация «Finbox» </x:v>
      </x:c>
      <x:c r="J41" s="32" t="n">
        <x:v>97</x:v>
      </x:c>
      <x:c r="K41" s="32" t="str">
        <x:v>not_found</x:v>
      </x:c>
      <x:c r="L41" s="32" t="str">
        <x:v>1. ТОО «Микрофинансовая организация «Finbox»  [62] (c7ea58fc-03ee-4831-8523-4105f050fd2f)
2. ТОО «Микрофинансовая организация «Finbox»  [62] (4af423c5-3c6c-4701-b263-d32b92a893ca)
3. ТОО «Микрофинансовая организация «Finbox»  [62] (99da55db-2516-4284-9766-0924ff68b6a8)
4. ТОО «Специальная финансовая компания FinCoreKz» [62] (fbae33da-a3fd-4d1c-ab55-1b8b60cd012a)
5. ТОО «Специальная финансовая компания FinCoreKz» 56 доллар за каждый месяц *12=672*500=336 000 [62] (098d953c-76dc-4b91-ad85-d137f1abe4cc)</x:v>
      </x:c>
      <x:c r="M41" s="32" t="str">
        <x:v>partner differs: existing ba3d0a39-e789-4eed-8890-64dca41dbdd9, 3ceb66d6-1ecf-4ab2-8a98-aa2436b9d0fd vs Кенжекулов Адилжан Абдикалыкович</x:v>
      </x:c>
      <x:c r="N41" s="32" t="str"/>
      <x:c r="O41" s="32" t="str">
        <x:v>Кенжекулов Адилжан Абдикалыкович [partner]
Сауле Тримова [assistant_1]</x:v>
      </x:c>
      <x:c r="P41" s="33" t="b">
        <x:v>0</x:v>
      </x:c>
      <x:c r="Q41" s="32" t="str">
        <x:v>team_conflict</x:v>
      </x:c>
      <x:c r="R41" s="32" t="str">
        <x:v>merge_team_manually</x:v>
      </x:c>
      <x:c r="S41" s="32" t="str"/>
      <x:c r="T41" s="32" t="str"/>
      <x:c r="U41" s="32" t="str"/>
    </x:row>
    <x:row r="42" ht="42" customHeight="1">
      <x:c r="A42" s="32" t="str">
        <x:v>2 кв проекты 2024 rbi.xlsx::проекты 2 кв 2024::30</x:v>
      </x:c>
      <x:c r="B42" s="32" t="str">
        <x:v>2 кв Проекты 2024_RBI.xlsx</x:v>
      </x:c>
      <x:c r="C42" s="32" t="str">
        <x:v>Проекты 2 кв 2024 </x:v>
      </x:c>
      <x:c r="D42" s="32" t="n">
        <x:v>30</x:v>
      </x:c>
      <x:c r="E42" s="32" t="str">
        <x:v>ТОО «КАЖСервис»</x:v>
      </x:c>
      <x:c r="F42" s="32" t="str">
        <x:v>Аудит ФО</x:v>
      </x:c>
      <x:c r="G42" s="32" t="str">
        <x:v>IAC Russell Bedford A+ Partners LLP</x:v>
      </x:c>
      <x:c r="H42" s="32" t="str">
        <x:v>exact</x:v>
      </x:c>
      <x:c r="I42" s="32" t="str">
        <x:v>ТОО КАЖсервис</x:v>
      </x:c>
      <x:c r="J42" s="32" t="n">
        <x:v>210</x:v>
      </x:c>
      <x:c r="K42" s="32" t="str">
        <x:v>exact</x:v>
      </x:c>
      <x:c r="L42" s="32" t="str">
        <x:v>1. ТОО КАЖсервис [255] (7eba217f-58b6-4888-a0c9-573d8157ab8a)</x:v>
      </x:c>
      <x:c r="M42" s="32" t="str">
        <x:v>partner differs: existing 6d356324-96a9-4eed-a832-f10f9588d5b7 vs Шынгыс Сартаев</x:v>
      </x:c>
      <x:c r="N42" s="32" t="str">
        <x:v>Казбекова Малика [assistant_1]
Максутов Данияр [assistant_1]
Sagadat Marat [assistant_1]
Мухашев Куаныш Кудашулы [partner]
Хаирбеков Адиль [assistant_1]</x:v>
      </x:c>
      <x:c r="O42" s="32" t="str">
        <x:v>Шынгыс Сартаев [partner]
Василий Павленко [assistant_1]
Казбекова Малика [assistant_1]</x:v>
      </x:c>
      <x:c r="P42" s="33" t="b">
        <x:v>0</x:v>
      </x:c>
      <x:c r="Q42" s="32" t="str">
        <x:v>team_conflict</x:v>
      </x:c>
      <x:c r="R42" s="32" t="str">
        <x:v>merge_team_manually</x:v>
      </x:c>
      <x:c r="S42" s="32" t="str"/>
      <x:c r="T42" s="32" t="str"/>
      <x:c r="U42" s="32" t="str"/>
    </x:row>
    <x:row r="43" ht="42" customHeight="1">
      <x:c r="A43" s="32" t="str">
        <x:v>2 кв проекты 2024 rbi.xlsx::проекты 2 кв 2024::32</x:v>
      </x:c>
      <x:c r="B43" s="32" t="str">
        <x:v>2 кв Проекты 2024_RBI.xlsx</x:v>
      </x:c>
      <x:c r="C43" s="32" t="str">
        <x:v>Проекты 2 кв 2024 </x:v>
      </x:c>
      <x:c r="D43" s="32" t="n">
        <x:v>32</x:v>
      </x:c>
      <x:c r="E43" s="32" t="str">
        <x:v>Акционерное Общество (АО) «Национальные Информационные Технологии»</x:v>
      </x:c>
      <x:c r="F43" s="32" t="str">
        <x:v>Аудит ФО</x:v>
      </x:c>
      <x:c r="G43" s="32" t="str">
        <x:v>IAC Russell Bedford A+ Partners LLP</x:v>
      </x:c>
      <x:c r="H43" s="32" t="str">
        <x:v>probable</x:v>
      </x:c>
      <x:c r="I43" s="32" t="str">
        <x:v>АО Национальные информационные технологии (НИТ)</x:v>
      </x:c>
      <x:c r="J43" s="32" t="n">
        <x:v>97</x:v>
      </x:c>
      <x:c r="K43" s="32" t="str">
        <x:v>conflict</x:v>
      </x:c>
      <x:c r="L43" s="32" t="str">
        <x:v>1. Акционерное общество "Национальная платежная корпорация Национального Банка Республики Казахстан" - АУДИТ за 2024 [67] (49694440-aee8-4cf4-af94-a8d4ef55a462)
2. Акционерное общество «Национальные информационные технологии» - Услуги по проведению ревизий финансовых [62] (ff749fc8-128c-4fa4-abe9-c7591be534e5)
3. Акционерное общество "Аэропорт Шымкент" - Услуги по проведению аудита финансовой отчетности [44] (c4918675-722f-4082-92f2-f0bbc58d23e0)
4. Акционерное общество "Социально-предпринимательская корпорация "Қонаев" - Услуги по
проведению
аудита
финансовой
отчетности [44] (1041b77c-6266-408d-b7bd-3c9fa71d062e)
5. Акционерное общество "Социально-предпринимательская корпорация "Сарыарка" - Услуги по проведению аудита финансовой отчетности [44] (d4e2f0e3-63d3-4ff4-948e-fa6883a6d2ef)</x:v>
      </x:c>
      <x:c r="M43" s="32" t="str">
        <x:v>partner differs: existing 4cb72e5f-7375-4278-bd38-b29a7e4a197c vs Арнабеков Ерлан
partner differs: existing 4cb72e5f-7375-4278-bd38-b29a7e4a197c vs Мухашев Куаныш Кудашулы</x:v>
      </x:c>
      <x:c r="N43" s="32" t="str">
        <x:v>Сауле Бадамбаева [partner]
Нускабаева Райхан [project_leader]
Гульжан Чалова [manager_1]
Қасымбек Тинай Асқарқызы [assistant_1]
Кенжебек Мая Тельманкызы [manager_1]
Идрисов Спандияр [tax_specialist_1]</x:v>
      </x:c>
      <x:c r="O43" s="32" t="str">
        <x:v>Арнабеков Ерлан [partner]
Мухашев Куаныш Кудашулы [partner]
Шардарбекова Саия Гамзатовна [manager_2]</x:v>
      </x:c>
      <x:c r="P43" s="33" t="b">
        <x:v>1</x:v>
      </x:c>
      <x:c r="Q43" s="32" t="str">
        <x:v>team_conflict</x:v>
      </x:c>
      <x:c r="R43" s="32" t="str">
        <x:v>merge_team_manually</x:v>
      </x:c>
      <x:c r="S43" s="32" t="str"/>
      <x:c r="T43" s="32" t="str"/>
      <x:c r="U43" s="32" t="str"/>
    </x:row>
    <x:row r="44" ht="42" customHeight="1">
      <x:c r="A44" s="32" t="str">
        <x:v>2 кв проекты 2024 rbi.xlsx::проекты 2 кв 2024::37</x:v>
      </x:c>
      <x:c r="B44" s="32" t="str">
        <x:v>2 кв Проекты 2024_RBI.xlsx</x:v>
      </x:c>
      <x:c r="C44" s="32" t="str">
        <x:v>Проекты 2 кв 2024 </x:v>
      </x:c>
      <x:c r="D44" s="32" t="n">
        <x:v>37</x:v>
      </x:c>
      <x:c r="E44" s="32" t="str">
        <x:v>ТОО ЧППИ Казахстан</x:v>
      </x:c>
      <x:c r="F44" s="32" t="str">
        <x:v>Аудит ФО</x:v>
      </x:c>
      <x:c r="G44" s="32" t="str">
        <x:v>IAC Russell Bedford A+ Partners LLP</x:v>
      </x:c>
      <x:c r="H44" s="32" t="str">
        <x:v>exact</x:v>
      </x:c>
      <x:c r="I44" s="32" t="str">
        <x:v>ТОО «ЧППИ Казахстан»</x:v>
      </x:c>
      <x:c r="J44" s="32" t="n">
        <x:v>210</x:v>
      </x:c>
      <x:c r="K44" s="32" t="str">
        <x:v>conflict</x:v>
      </x:c>
      <x:c r="L44" s="32" t="str">
        <x:v>1. ТОО «ЧППИ Казахстан» [255] (c84c8d27-422d-4ecf-b072-4869445850bc)
2. ТОО «ЧППИ Казахстан» [255] (9896d52f-0752-4fa0-819f-527482a06729)
3. ТОО «ЧППИ Казахстан» - услуг по проведению аудита финансовой отчетности ТОО «ЧППИ Казахстан» за 2025 год, подготовленной в соответствии с Международными Стандартами Финансовой Отчетности (МСФО)  [114] (a6958284-b70a-4949-b72d-27271fd902d3)
4. Акционерное общество "Национальная платежная корпорация Национального Банка Республики Казахстан" - АУДИТ за 2024 [72] (49694440-aee8-4cf4-af94-a8d4ef55a462)
5. АО "Республиканская телерадиокорпорация "Казахстан" (за 2024-2026гг) [60] (34cb9178-42ab-4479-96b1-59f9c1eff0a2)</x:v>
      </x:c>
      <x:c r="M44" s="32" t="str">
        <x:v>partner differs: existing c7fc625d-7836-4eed-90bb-b14541040f42 vs Кудайбергенова Шолпанай</x:v>
      </x:c>
      <x:c r="N44" s="32" t="str">
        <x:v>Арнабеков Ерлан [partner]</x:v>
      </x:c>
      <x:c r="O44" s="32" t="str">
        <x:v>Кудайбергенова Шолпанай [partner]</x:v>
      </x:c>
      <x:c r="P44" s="33" t="b">
        <x:v>1</x:v>
      </x:c>
      <x:c r="Q44" s="32" t="str">
        <x:v>team_conflict</x:v>
      </x:c>
      <x:c r="R44" s="32" t="str">
        <x:v>merge_team_manually</x:v>
      </x:c>
      <x:c r="S44" s="32" t="str"/>
      <x:c r="T44" s="32" t="str"/>
      <x:c r="U44" s="32" t="str"/>
    </x:row>
    <x:row r="45" ht="42" customHeight="1">
      <x:c r="A45" s="32" t="str">
        <x:v>2 кв проекты 2024 rbi.xlsx::проекты 2 кв 2024::39</x:v>
      </x:c>
      <x:c r="B45" s="32" t="str">
        <x:v>2 кв Проекты 2024_RBI.xlsx</x:v>
      </x:c>
      <x:c r="C45" s="32" t="str">
        <x:v>Проекты 2 кв 2024 </x:v>
      </x:c>
      <x:c r="D45" s="32" t="n">
        <x:v>39</x:v>
      </x:c>
      <x:c r="E45" s="32" t="str">
        <x:v>Евразийский банк развития</x:v>
      </x:c>
      <x:c r="F45" s="32" t="str">
        <x:v>Аудит ФО</x:v>
      </x:c>
      <x:c r="G45" s="32" t="str">
        <x:v>IAC Russell Bedford A+ Partners LLP</x:v>
      </x:c>
      <x:c r="H45" s="32" t="str">
        <x:v>exact</x:v>
      </x:c>
      <x:c r="I45" s="32" t="str">
        <x:v>Евразийский Банк Развития</x:v>
      </x:c>
      <x:c r="J45" s="32" t="n">
        <x:v>290</x:v>
      </x:c>
      <x:c r="K45" s="32" t="str">
        <x:v>conflict</x:v>
      </x:c>
      <x:c r="L45" s="32" t="str">
        <x:v>1. Евразийский Банк Развития [255] (6b9d0d63-3bee-4644-bc6c-54f6e96798cb)
2. Евразийский Банк Развития [255] (d0a7ec18-3c0c-4c55-ac3f-c831848a5bc8)
3. Евразийский Банк Развития [255] (3dae62b4-160d-4501-a944-9a9a47812db5)
4. Евразийский Банк Развития [255] (c2835b4c-7418-4ae8-a55c-60cbbf05a706)
5. Евразийский Банк Развития [255] (66cc6990-9d56-4ad5-b7d4-be6573ec5929)</x:v>
      </x:c>
      <x:c r="M45" s="32" t="str">
        <x:v>partner differs: existing 3ceb66d6-1ecf-4ab2-8a98-aa2436b9d0fd vs Жумадилов Бакыт</x:v>
      </x:c>
      <x:c r="N45" s="32" t="str">
        <x:v>Калижан Адилет [assistant_1]
Максутов Данияр [assistant_1]
Нурулла Нугман [assistant_1]
Турлыгазина Дана Ерікқызы [assistant_1]
Хаирбеков Адиль [assistant_1]
Шынгыс Сартаев [partner]
Тайтаразов Максат [assistant_1]</x:v>
      </x:c>
      <x:c r="O45" s="32" t="str">
        <x:v>Жумадилов Бакыт [partner]</x:v>
      </x:c>
      <x:c r="P45" s="33" t="b">
        <x:v>1</x:v>
      </x:c>
      <x:c r="Q45" s="32" t="str">
        <x:v>team_conflict</x:v>
      </x:c>
      <x:c r="R45" s="32" t="str">
        <x:v>merge_team_manually</x:v>
      </x:c>
      <x:c r="S45" s="32" t="str"/>
      <x:c r="T45" s="32" t="str"/>
      <x:c r="U45" s="32" t="str"/>
    </x:row>
    <x:row r="46" ht="42" customHeight="1">
      <x:c r="A46" s="32" t="str">
        <x:v>2 кв проекты 2024 rbi.xlsx::проекты 2 кв 2024::42</x:v>
      </x:c>
      <x:c r="B46" s="32" t="str">
        <x:v>2 кв Проекты 2024_RBI.xlsx</x:v>
      </x:c>
      <x:c r="C46" s="32" t="str">
        <x:v>Проекты 2 кв 2024 </x:v>
      </x:c>
      <x:c r="D46" s="32" t="n">
        <x:v>42</x:v>
      </x:c>
      <x:c r="E46" s="32" t="str">
        <x:v>Товарищество с ограниченной ответственностью (ТОО) «Проект ЭнС»</x:v>
      </x:c>
      <x:c r="F46" s="32" t="str">
        <x:v>Аудит ФО</x:v>
      </x:c>
      <x:c r="G46" s="32" t="str">
        <x:v>IAC Russell Bedford A+ Partners LLP</x:v>
      </x:c>
      <x:c r="H46" s="32" t="str">
        <x:v>exact</x:v>
      </x:c>
      <x:c r="I46" s="32" t="str">
        <x:v>ТОО «Проект-ЭнС»</x:v>
      </x:c>
      <x:c r="J46" s="32" t="n">
        <x:v>145</x:v>
      </x:c>
      <x:c r="K46" s="32" t="str">
        <x:v>conflict</x:v>
      </x:c>
      <x:c r="L46" s="32" t="str">
        <x:v>1. ТОО «Проект-ЭнС» [105] (dbd45189-a27f-4490-ae8e-fbf835df5542)
2. ТОО «Проект-ЭнС» [105] (b5644b99-5bac-47aa-b11f-cf90b3127959)
3. ТОО «Проект-ЭнС» [105] (1c4cfb58-fb49-4dcb-b1c0-95c28f085601)
4. ТОО «Проект-ЭнС» [105] (351799b4-859e-4593-a6b3-e0d37bffbf66)
5. ТОО «Проект-ЭнС» [105] (6490561d-3bf9-4160-aff9-64bbb2deddfc)</x:v>
      </x:c>
      <x:c r="M46" s="32" t="str">
        <x:v>partner differs: existing 4cb72e5f-7375-4278-bd38-b29a7e4a197c vs Арнабеков Ерлан</x:v>
      </x:c>
      <x:c r="N46" s="32" t="str">
        <x:v>Аманов Онгар [assistant_1]
Zhorabekov Zhanibek [manager_2]
Sagadat Marat [assistant_1]
Каби Светлана [assistant_1]
Қасымбек Тинай Асқарқызы [assistant_1]
Кенжекулов Адилжан Абдикалыкович [partner]</x:v>
      </x:c>
      <x:c r="O46" s="32" t="str">
        <x:v>Арнабеков Ерлан [partner]</x:v>
      </x:c>
      <x:c r="P46" s="33" t="b">
        <x:v>1</x:v>
      </x:c>
      <x:c r="Q46" s="32" t="str">
        <x:v>team_conflict</x:v>
      </x:c>
      <x:c r="R46" s="32" t="str">
        <x:v>merge_team_manually</x:v>
      </x:c>
      <x:c r="S46" s="32" t="str"/>
      <x:c r="T46" s="32" t="str"/>
      <x:c r="U46" s="32" t="str"/>
    </x:row>
    <x:row r="47" ht="42" customHeight="1">
      <x:c r="A47" s="32" t="str">
        <x:v>2 кв проекты 2024 rbi.xlsx::проекты 2 кв 2024::43</x:v>
      </x:c>
      <x:c r="B47" s="32" t="str">
        <x:v>2 кв Проекты 2024_RBI.xlsx</x:v>
      </x:c>
      <x:c r="C47" s="32" t="str">
        <x:v>Проекты 2 кв 2024 </x:v>
      </x:c>
      <x:c r="D47" s="32" t="n">
        <x:v>43</x:v>
      </x:c>
      <x:c r="E47" s="32" t="str">
        <x:v>Акционерное общество «Национальная Компания «ҚазАвтоЖол»</x:v>
      </x:c>
      <x:c r="F47" s="32" t="str">
        <x:v>Аудит ФО</x:v>
      </x:c>
      <x:c r="G47" s="32" t="str">
        <x:v>IAC Russell Bedford A+ Partners LLP</x:v>
      </x:c>
      <x:c r="H47" s="32" t="str">
        <x:v>conflict</x:v>
      </x:c>
      <x:c r="I47" s="32" t="str">
        <x:v>Акционерное общество "Национальная платежная корпорация Национального Банка Республики Казахстан" - АУДИТ за 2024</x:v>
      </x:c>
      <x:c r="J47" s="32" t="n">
        <x:v>72</x:v>
      </x:c>
      <x:c r="K47" s="32" t="str">
        <x:v>probable</x:v>
      </x:c>
      <x:c r="L47" s="32" t="str">
        <x:v>1. Акционерное общество "Национальная платежная корпорация Национального Банка Республики Казахстан" - АУДИТ за 2024 [85] (49694440-aee8-4cf4-af94-a8d4ef55a462)
2. Акционерное общество «Транснациональная компания «Казхром» - Проведение аудита расходов на разведку и добычу твердых полезных ископаемых, указанных в отчете об исполнении лицензионных обязательств [50] (920af92e-3236-4e89-93ff-8c7450ce1993)
3. Акционерное общество "Аэропорт Шымкент" - Услуги по проведению аудита финансовой отчетности [49] (c4918675-722f-4082-92f2-f0bbc58d23e0)
4. Акционерное общество "Социально-предпринимательская корпорация "Қонаев" - Услуги по
проведению
аудита
финансовой
отчетности [49] (1041b77c-6266-408d-b7bd-3c9fa71d062e)
5. Акционерное общество "Социально-предпринимательская корпорация "Сарыарка" - Услуги по проведению аудита финансовой отчетности [49] (d4e2f0e3-63d3-4ff4-948e-fa6883a6d2ef)</x:v>
      </x:c>
      <x:c r="M47" s="32" t="str">
        <x:v>partner differs: existing ba3d0a39-e789-4eed-8890-64dca41dbdd9 vs Шынгыс Сартаев</x:v>
      </x:c>
      <x:c r="N47" s="32" t="str">
        <x:v>Сауле Бадамбаева [partner]
Нускабаева Райхан [project_leader]
Гульжан Чалова [manager_1]
Қасымбек Тинай Асқарқызы [assistant_1]
Кенжебек Мая Тельманкызы [manager_1]
Идрисов Спандияр [tax_specialist_1]</x:v>
      </x:c>
      <x:c r="O47" s="32" t="str">
        <x:v>Шынгыс Сартаев [partner]</x:v>
      </x:c>
      <x:c r="P47" s="33" t="b">
        <x:v>1</x:v>
      </x:c>
      <x:c r="Q47" s="32" t="str">
        <x:v>needs_project_match</x:v>
      </x:c>
      <x:c r="R47" s="32" t="str">
        <x:v>choose_existing_project</x:v>
      </x:c>
      <x:c r="S47" s="32" t="str"/>
      <x:c r="T47" s="32" t="str"/>
      <x:c r="U47" s="32" t="str"/>
    </x:row>
    <x:row r="48" ht="42" customHeight="1">
      <x:c r="A48" s="32" t="str">
        <x:v>2 кв проекты 2024 rbi.xlsx::проекты 2 кв 2024::62</x:v>
      </x:c>
      <x:c r="B48" s="32" t="str">
        <x:v>2 кв Проекты 2024_RBI.xlsx</x:v>
      </x:c>
      <x:c r="C48" s="32" t="str">
        <x:v>Проекты 2 кв 2024 </x:v>
      </x:c>
      <x:c r="D48" s="32" t="n">
        <x:v>62</x:v>
      </x:c>
      <x:c r="E48" s="32" t="str">
        <x:v>ТОО HomeITTech</x:v>
      </x:c>
      <x:c r="F48" s="32" t="str">
        <x:v>Аудит ФО</x:v>
      </x:c>
      <x:c r="G48" s="32" t="str">
        <x:v>IAC Russell Bedford A+ Partners LLP</x:v>
      </x:c>
      <x:c r="H48" s="32" t="str">
        <x:v>exact</x:v>
      </x:c>
      <x:c r="I48" s="32" t="str">
        <x:v>ТОО «HomeITTech»</x:v>
      </x:c>
      <x:c r="J48" s="32" t="n">
        <x:v>255</x:v>
      </x:c>
      <x:c r="K48" s="32" t="str">
        <x:v>exact</x:v>
      </x:c>
      <x:c r="L48" s="32" t="str">
        <x:v>1. ТОО «HomeITTech» [255] (2ceab59c-5de2-4dbe-9c60-146bcb648aab)
2. ТОО HomeITTech - услуги по проведению согласованных процедур по МССУ 4400 за 2025 год  [135] (1ca406d7-d22a-4d4b-950b-4c855d97a162)</x:v>
      </x:c>
      <x:c r="M48" s="32" t="str">
        <x:v>partner differs: existing ba3d0a39-e789-4eed-8890-64dca41dbdd9 vs Арнабеков Ерлан</x:v>
      </x:c>
      <x:c r="N48" s="32" t="str">
        <x:v>Сауле Бадамбаева [partner]
Жамбыл Ернур [assistant_1]
Қасымбек Тинай Асқарқызы [assistant_1]
Шардарбекова Саия Гамзатовна [project_leader]
Идрисов Спандияр [tax_specialist_1]</x:v>
      </x:c>
      <x:c r="O48" s="32" t="str">
        <x:v>Арнабеков Ерлан [partner]
Шардарбекова Саия Гамзатовна [manager_2]
Жорабеков Жанибек [manager_2]</x:v>
      </x:c>
      <x:c r="P48" s="33" t="b">
        <x:v>1</x:v>
      </x:c>
      <x:c r="Q48" s="32" t="str">
        <x:v>team_conflict</x:v>
      </x:c>
      <x:c r="R48" s="32" t="str">
        <x:v>merge_team_manually</x:v>
      </x:c>
      <x:c r="S48" s="32" t="str"/>
      <x:c r="T48" s="32" t="str"/>
      <x:c r="U48" s="32" t="str"/>
    </x:row>
    <x:row r="49" ht="42" customHeight="1">
      <x:c r="A49" s="32" t="str">
        <x:v>2 кв проекты 2024 rbi.xlsx::проекты 2 кв 2024::67</x:v>
      </x:c>
      <x:c r="B49" s="32" t="str">
        <x:v>2 кв Проекты 2024_RBI.xlsx</x:v>
      </x:c>
      <x:c r="C49" s="32" t="str">
        <x:v>Проекты 2 кв 2024 </x:v>
      </x:c>
      <x:c r="D49" s="32" t="n">
        <x:v>67</x:v>
      </x:c>
      <x:c r="E49" s="32" t="str">
        <x:v>ТОО ВиваФарм</x:v>
      </x:c>
      <x:c r="F49" s="32" t="str">
        <x:v>Аудит ФО</x:v>
      </x:c>
      <x:c r="G49" s="32" t="str">
        <x:v>IAC Russell Bedford A+ Partners LLP</x:v>
      </x:c>
      <x:c r="H49" s="32" t="str">
        <x:v>exact</x:v>
      </x:c>
      <x:c r="I49" s="32" t="str">
        <x:v>ТОО ВИВА ФАРМ - 1.1. Заказчик поручает и оплачивает, а Исполнитель принимает на себя обязательство по оказанию Заказчику услуг:
1.1.1. по проведению аудита отдельной и консолидированной финансовой отчетности ТОО «ВиваФарм» за 2025 год, подготовленной в соответствии с Международными Стандартами Финансовой Отчетности (МСФО);
1.1.2. по проведению аудита налоговой отчетности ТОО «ВиваФарм» за 2025 год (далее – услуги) (далее – услуги).
</x:v>
      </x:c>
      <x:c r="J49" s="32" t="n">
        <x:v>114</x:v>
      </x:c>
      <x:c r="K49" s="32" t="str">
        <x:v>exact</x:v>
      </x:c>
      <x:c r="L49" s="32" t="str">
        <x:v>1. ТОО ВИВА ФАРМ - 1.1. Заказчик поручает и оплачивает, а Исполнитель принимает на себя обязательство по оказанию Заказчику услуг:
1.1.1. по проведению аудита отдельной и консолидированной финансовой отчетности ТОО «ВиваФарм» за 2025 год, подготовленной в соответствии с Международными Стандартами Финансовой Отчетности (МСФО);
1.1.2. по проведению аудита налоговой отчетности ТОО «ВиваФарм» за 2025 год (далее – услуги) (далее – услуги).
 [114] (bebbfd37-96b4-4e6a-91d9-ae1aea5646b2)</x:v>
      </x:c>
      <x:c r="M49" s="32" t="str">
        <x:v>partner differs: existing 083dfc70-1816-4fcf-9fd5-d5d8cba8ee1c vs Кенжекулов Адилжан Абдикалыкович</x:v>
      </x:c>
      <x:c r="N49" s="32" t="str">
        <x:v>Адилжан Кенжекулов [partner]</x:v>
      </x:c>
      <x:c r="O49" s="32" t="str">
        <x:v>Кенжекулов Адилжан Абдикалыкович [partner]</x:v>
      </x:c>
      <x:c r="P49" s="33" t="b">
        <x:v>0</x:v>
      </x:c>
      <x:c r="Q49" s="32" t="str">
        <x:v>team_conflict</x:v>
      </x:c>
      <x:c r="R49" s="32" t="str">
        <x:v>merge_team_manually</x:v>
      </x:c>
      <x:c r="S49" s="32" t="str"/>
      <x:c r="T49" s="32" t="str"/>
      <x:c r="U49" s="32" t="str"/>
    </x:row>
    <x:row r="50" ht="42" customHeight="1">
      <x:c r="A50" s="32" t="str">
        <x:v>2 кв проекты 2024 rbi.xlsx::проекты 2 кв 2024::71</x:v>
      </x:c>
      <x:c r="B50" s="32" t="str">
        <x:v>2 кв Проекты 2024_RBI.xlsx</x:v>
      </x:c>
      <x:c r="C50" s="32" t="str">
        <x:v>Проекты 2 кв 2024 </x:v>
      </x:c>
      <x:c r="D50" s="32" t="n">
        <x:v>71</x:v>
      </x:c>
      <x:c r="E50" s="32" t="str">
        <x:v>АО Тыныс</x:v>
      </x:c>
      <x:c r="F50" s="32" t="str">
        <x:v>Аудит ФО</x:v>
      </x:c>
      <x:c r="G50" s="32" t="str">
        <x:v>IAC Russell Bedford A+ Partners LLP</x:v>
      </x:c>
      <x:c r="H50" s="32" t="str">
        <x:v>exact</x:v>
      </x:c>
      <x:c r="I50" s="32" t="str">
        <x:v>АО Тыныс</x:v>
      </x:c>
      <x:c r="J50" s="32" t="n">
        <x:v>290</x:v>
      </x:c>
      <x:c r="K50" s="32" t="str">
        <x:v>exact</x:v>
      </x:c>
      <x:c r="L50" s="32" t="str">
        <x:v>1. АО Тыныс [255] (53fc6653-fff0-43fe-8bac-861ca4067bd8)</x:v>
      </x:c>
      <x:c r="M50" s="32" t="str">
        <x:v>partner differs: existing c7fc625d-7836-4eed-90bb-b14541040f42 vs Кенжекулов Адилжан Абдикалыкович</x:v>
      </x:c>
      <x:c r="N50" s="32" t="str">
        <x:v>Бекжанов Бақытжан Абылқасымұлы [supervisor_1]
Арнабеков Ерлан [partner]</x:v>
      </x:c>
      <x:c r="O50" s="32" t="str">
        <x:v>Кенжекулов Адилжан Абдикалыкович [partner]
Жорабеков Жанибек [manager_2]
Бекжанов Бақытжан Абылқасымұлы [supervisor_1]
Сагадат Марат [assistant_1]</x:v>
      </x:c>
      <x:c r="P50" s="33" t="b">
        <x:v>1</x:v>
      </x:c>
      <x:c r="Q50" s="32" t="str">
        <x:v>team_conflict</x:v>
      </x:c>
      <x:c r="R50" s="32" t="str">
        <x:v>merge_team_manually</x:v>
      </x:c>
      <x:c r="S50" s="32" t="str"/>
      <x:c r="T50" s="32" t="str"/>
      <x:c r="U50" s="32" t="str"/>
    </x:row>
    <x:row r="51" ht="42" customHeight="1">
      <x:c r="A51" s="32" t="str">
        <x:v>2 кв проекты 2024 rbi.xlsx::проекты 2 кв 2024::88</x:v>
      </x:c>
      <x:c r="B51" s="32" t="str">
        <x:v>2 кв Проекты 2024_RBI.xlsx</x:v>
      </x:c>
      <x:c r="C51" s="32" t="str">
        <x:v>Проекты 2 кв 2024 </x:v>
      </x:c>
      <x:c r="D51" s="32" t="n">
        <x:v>88</x:v>
      </x:c>
      <x:c r="E51" s="32" t="str">
        <x:v>Общественный Фонд " Билим Болашагы"</x:v>
      </x:c>
      <x:c r="F51" s="32" t="str"/>
      <x:c r="G51" s="32" t="str">
        <x:v>IAC Russell Bedford A+ Partners LLP</x:v>
      </x:c>
      <x:c r="H51" s="32" t="str">
        <x:v>probable</x:v>
      </x:c>
      <x:c r="I51" s="32" t="str">
        <x:v>Общественный фонд «БІЛІМ БОЛАШАҒЫ» Аудит ФО за 2022 год</x:v>
      </x:c>
      <x:c r="J51" s="32" t="n">
        <x:v>90</x:v>
      </x:c>
      <x:c r="K51" s="32" t="str">
        <x:v>probable</x:v>
      </x:c>
      <x:c r="L51" s="32" t="str">
        <x:v>1. Общественный фонд «БІЛІМ БОЛАШАҒЫ» Аудит ФО за 2022 год [90] (edc21f97-2e37-40b6-92ff-214c19700d0c)
2. Общественный Фонд «Heart Center Foundation» - 1.1. Заказчик поручает и оплачивает, а Исполнитель принимает на себя обязательство оказать услуги по проведению согласованных процедур по МССУ 4400, согласно Приложению №1 к данному договору  [25] (12d7c072-c2b3-4a38-86ba-1a393b9bb459)</x:v>
      </x:c>
      <x:c r="M51" s="32" t="str">
        <x:v>partner differs: existing 3ceb66d6-1ecf-4ab2-8a98-aa2436b9d0fd vs Арнабеков Ерлан</x:v>
      </x:c>
      <x:c r="N51" s="32" t="str">
        <x:v>Медекенов Марат Макунович [manager_1]
Шынгыс Сартаев [partner]</x:v>
      </x:c>
      <x:c r="O51" s="32" t="str">
        <x:v>Арнабеков Ерлан [partner]
Молдагалиева Марал [assistant_1]</x:v>
      </x:c>
      <x:c r="P51" s="33" t="b">
        <x:v>0</x:v>
      </x:c>
      <x:c r="Q51" s="32" t="str">
        <x:v>team_conflict</x:v>
      </x:c>
      <x:c r="R51" s="32" t="str">
        <x:v>merge_team_manually</x:v>
      </x:c>
      <x:c r="S51" s="32" t="str"/>
      <x:c r="T51" s="32" t="str"/>
      <x:c r="U51" s="32" t="str"/>
    </x:row>
    <x:row r="52" ht="42" customHeight="1">
      <x:c r="A52" s="32" t="str">
        <x:v>2 кв проекты 2025 rbi.xlsx::проекты 2 кв 2025::9</x:v>
      </x:c>
      <x:c r="B52" s="32" t="str">
        <x:v>2 кв Проекты 2025_RBI.xlsx</x:v>
      </x:c>
      <x:c r="C52" s="32" t="str">
        <x:v>Проекты 2 кв 2025</x:v>
      </x:c>
      <x:c r="D52" s="32" t="n">
        <x:v>9</x:v>
      </x:c>
      <x:c r="E52" s="32" t="str">
        <x:v>АО ИСЛАМСКИЙ БАНК ЗАМАН-БАНК</x:v>
      </x:c>
      <x:c r="F52" s="32" t="str">
        <x:v>Аудит ФО</x:v>
      </x:c>
      <x:c r="G52" s="32" t="str">
        <x:v>ТОО Russell Bedford A+ Partners</x:v>
      </x:c>
      <x:c r="H52" s="32" t="str">
        <x:v>exact</x:v>
      </x:c>
      <x:c r="I52" s="32" t="str">
        <x:v>АО «Исламский банк «Заман-Банк»</x:v>
      </x:c>
      <x:c r="J52" s="32" t="n">
        <x:v>290</x:v>
      </x:c>
      <x:c r="K52" s="32" t="str">
        <x:v>conflict</x:v>
      </x:c>
      <x:c r="L52" s="32" t="str">
        <x:v>1. АО «Исламский банк «Заман-Банк» [255] (f8dbe1d3-b17c-4d06-a484-b83003b722bf)
2. АО «Исламский банк «Заман-Банк» [255] (eaf5c43a-d282-44c6-bf54-4a6748c75c3e)
3. АО «Исламский банк «Заман-Банк» [255] (425427cd-1363-43c8-b9c5-5679ef4aef3a)
4. АО «Исламский банк «Заман-Банк» [255] (9dbdb39b-ccda-4239-a984-8cbbd190ebe1)
5. АО «Исламский банк «Заман-Банк» [255] (48ce35aa-739c-4a89-96a0-dd90faa28c71)</x:v>
      </x:c>
      <x:c r="M52" s="32" t="str">
        <x:v>partner differs: existing 3ceb66d6-1ecf-4ab2-8a98-aa2436b9d0fd vs Жумадилов Бакыт</x:v>
      </x:c>
      <x:c r="N52" s="32" t="str">
        <x:v>Елемесов Султан [assistant_1]
Жамбыл Ернур [assistant_1]
Куптлеуова Альбина [assistant_1]
Молдабаев Бауыржан Казыбекович [assistant_1]
Сартаева Гаухар Шыныбековна [manager_1]
Хаирбеков Адиль [assistant_1]
Шынгыс Сартаев [partner]</x:v>
      </x:c>
      <x:c r="O52" s="32" t="str">
        <x:v>Жумадилов Бакыт [partner]
Султан Киргиз [assistant_1]
Сартаева Гаухар Шыныбековна [manager_1]
Касимова Альбина [assistant_1]</x:v>
      </x:c>
      <x:c r="P52" s="33" t="b">
        <x:v>1</x:v>
      </x:c>
      <x:c r="Q52" s="32" t="str">
        <x:v>team_conflict</x:v>
      </x:c>
      <x:c r="R52" s="32" t="str">
        <x:v>merge_team_manually</x:v>
      </x:c>
      <x:c r="S52" s="32" t="str"/>
      <x:c r="T52" s="32" t="str"/>
      <x:c r="U52" s="32" t="str"/>
    </x:row>
    <x:row r="53" ht="42" customHeight="1">
      <x:c r="A53" s="32" t="str">
        <x:v>2 кв проекты 2025 rbi.xlsx::проекты 2 кв 2025::18</x:v>
      </x:c>
      <x:c r="B53" s="32" t="str">
        <x:v>2 кв Проекты 2025_RBI.xlsx</x:v>
      </x:c>
      <x:c r="C53" s="32" t="str">
        <x:v>Проекты 2 кв 2025</x:v>
      </x:c>
      <x:c r="D53" s="32" t="n">
        <x:v>18</x:v>
      </x:c>
      <x:c r="E53" s="32" t="str">
        <x:v>ТОО Aitu - Платежные решения</x:v>
      </x:c>
      <x:c r="F53" s="32" t="str">
        <x:v>Аудит ФО</x:v>
      </x:c>
      <x:c r="G53" s="32" t="str">
        <x:v>ТОО Russell Bedford A+ Partners</x:v>
      </x:c>
      <x:c r="H53" s="32" t="str">
        <x:v>exact</x:v>
      </x:c>
      <x:c r="I53" s="32" t="str">
        <x:v>ТОО «Aitu Платежные решения»</x:v>
      </x:c>
      <x:c r="J53" s="32" t="n">
        <x:v>290</x:v>
      </x:c>
      <x:c r="K53" s="32" t="str">
        <x:v>conflict</x:v>
      </x:c>
      <x:c r="L53" s="32" t="str">
        <x:v>1. ТОО «Aitu Платежные решения» [255] (d8b356a5-119c-49e8-a73c-4d698a7ebe91)
2. ТОО «Aitu Платежные решения» [255] (c6a6eab8-5540-4d38-9902-2e73095abcfe)</x:v>
      </x:c>
      <x:c r="M53" s="32" t="str">
        <x:v>partner differs: existing 4cb72e5f-7375-4278-bd38-b29a7e4a197c vs Арнабеков Ерлан</x:v>
      </x:c>
      <x:c r="N53" s="32" t="str">
        <x:v>Кенжекулов Адилжан Абдикалыкович [partner]
Молдабаев Бауыржан Казыбекович [project_leader]</x:v>
      </x:c>
      <x:c r="O53" s="32" t="str">
        <x:v>Арнабеков Ерлан [partner]</x:v>
      </x:c>
      <x:c r="P53" s="33" t="b">
        <x:v>1</x:v>
      </x:c>
      <x:c r="Q53" s="32" t="str">
        <x:v>team_conflict</x:v>
      </x:c>
      <x:c r="R53" s="32" t="str">
        <x:v>merge_team_manually</x:v>
      </x:c>
      <x:c r="S53" s="32" t="str"/>
      <x:c r="T53" s="32" t="str"/>
      <x:c r="U53" s="32" t="str"/>
    </x:row>
    <x:row r="54" ht="42" customHeight="1">
      <x:c r="A54" s="32" t="str">
        <x:v>2 кв проекты 2025 rbi.xlsx::проекты 2 кв 2025::19</x:v>
      </x:c>
      <x:c r="B54" s="32" t="str">
        <x:v>2 кв Проекты 2025_RBI.xlsx</x:v>
      </x:c>
      <x:c r="C54" s="32" t="str">
        <x:v>Проекты 2 кв 2025</x:v>
      </x:c>
      <x:c r="D54" s="32" t="n">
        <x:v>19</x:v>
      </x:c>
      <x:c r="E54" s="32" t="str">
        <x:v>ТОО BTS DIGITAL</x:v>
      </x:c>
      <x:c r="F54" s="32" t="str">
        <x:v>Аудит ФО</x:v>
      </x:c>
      <x:c r="G54" s="32" t="str">
        <x:v>ТОО Russell Bedford A+ Partners</x:v>
      </x:c>
      <x:c r="H54" s="32" t="str">
        <x:v>exact</x:v>
      </x:c>
      <x:c r="I54" s="32" t="str">
        <x:v>ТОО «BTS DIGITAL»</x:v>
      </x:c>
      <x:c r="J54" s="32" t="n">
        <x:v>290</x:v>
      </x:c>
      <x:c r="K54" s="32" t="str">
        <x:v>conflict</x:v>
      </x:c>
      <x:c r="L54" s="32" t="str">
        <x:v>1. ТОО «BTS DIGITAL» [255] (28fef885-35c2-42fe-898f-c3e51cf1997e)
2. ТОО «BTS DIGITAL» [255] (b0a769ec-6c04-4214-a73b-014f3c4b8098)
3. Частная компания BTS Digital  Ventures Limited  [50] (b5e884ba-4f24-4cc4-96f4-c6b798dd08b6)
4. Частная компания BTS Digital  Ventures Limited  [50] (6f06aaa5-9da7-4afd-b8a3-6501eb5efde0)
5. Частная компания «SkyBridge Digital Finance Ltd.» [25] (f407e814-994f-42a7-a8a7-ac8362310ee3)</x:v>
      </x:c>
      <x:c r="M54" s="32" t="str">
        <x:v>partner differs: existing 4cb72e5f-7375-4278-bd38-b29a7e4a197c vs Арнабеков Ерлан</x:v>
      </x:c>
      <x:c r="N54" s="32" t="str">
        <x:v>Искаков Аскар [assistant_1]
Молдабаев Бауыржан Казыбекович [assistant_1]
Кенжекулов Адилжан Абдикалыкович [partner]</x:v>
      </x:c>
      <x:c r="O54" s="32" t="str">
        <x:v>Арнабеков Ерлан [partner]</x:v>
      </x:c>
      <x:c r="P54" s="33" t="b">
        <x:v>0</x:v>
      </x:c>
      <x:c r="Q54" s="32" t="str">
        <x:v>team_conflict</x:v>
      </x:c>
      <x:c r="R54" s="32" t="str">
        <x:v>merge_team_manually</x:v>
      </x:c>
      <x:c r="S54" s="32" t="str"/>
      <x:c r="T54" s="32" t="str"/>
      <x:c r="U54" s="32" t="str"/>
    </x:row>
    <x:row r="55" ht="42" customHeight="1">
      <x:c r="A55" s="32" t="str">
        <x:v>2 кв проекты 2025 rbi.xlsx::проекты 2 кв 2025::24</x:v>
      </x:c>
      <x:c r="B55" s="32" t="str">
        <x:v>2 кв Проекты 2025_RBI.xlsx</x:v>
      </x:c>
      <x:c r="C55" s="32" t="str">
        <x:v>Проекты 2 кв 2025</x:v>
      </x:c>
      <x:c r="D55" s="32" t="n">
        <x:v>24</x:v>
      </x:c>
      <x:c r="E55" s="32" t="str">
        <x:v>ТОО Salem social media</x:v>
      </x:c>
      <x:c r="F55" s="32" t="str">
        <x:v>Аудит ФО</x:v>
      </x:c>
      <x:c r="G55" s="32" t="str">
        <x:v>ТОО Russell Bedford A+ Partners</x:v>
      </x:c>
      <x:c r="H55" s="32" t="str">
        <x:v>exact</x:v>
      </x:c>
      <x:c r="I55" s="32" t="str">
        <x:v>ТОО «Salem social media»</x:v>
      </x:c>
      <x:c r="J55" s="32" t="n">
        <x:v>290</x:v>
      </x:c>
      <x:c r="K55" s="32" t="str">
        <x:v>conflict</x:v>
      </x:c>
      <x:c r="L55" s="32" t="str">
        <x:v>1. ТОО «Salem social media» [255] (f17b7360-e3d8-4cc7-ae16-6c9afe1b771e)
2. ТОО «Salem social media» [255] (12629335-fbc1-4da8-a9c5-7d40d5c3128b)
3. ТОО «Salem social media» [255] (8e87a143-2d8d-476c-aac2-fa78adaba8dd)</x:v>
      </x:c>
      <x:c r="M55" s="32" t="str">
        <x:v>partner differs: existing 4cb72e5f-7375-4278-bd38-b29a7e4a197c vs Арнабеков Ерлан</x:v>
      </x:c>
      <x:c r="N55" s="32" t="str">
        <x:v>Кенжекулов Адилжан Абдикалыкович [partner]</x:v>
      </x:c>
      <x:c r="O55" s="32" t="str">
        <x:v>Арнабеков Ерлан [partner]</x:v>
      </x:c>
      <x:c r="P55" s="33" t="b">
        <x:v>1</x:v>
      </x:c>
      <x:c r="Q55" s="32" t="str">
        <x:v>team_conflict</x:v>
      </x:c>
      <x:c r="R55" s="32" t="str">
        <x:v>merge_team_manually</x:v>
      </x:c>
      <x:c r="S55" s="32" t="str"/>
      <x:c r="T55" s="32" t="str"/>
      <x:c r="U55" s="32" t="str"/>
    </x:row>
    <x:row r="56" ht="42" customHeight="1">
      <x:c r="A56" s="32" t="str">
        <x:v>2 кв проекты 2025 rbi.xlsx::проекты 2 кв 2025::31</x:v>
      </x:c>
      <x:c r="B56" s="32" t="str">
        <x:v>2 кв Проекты 2025_RBI.xlsx</x:v>
      </x:c>
      <x:c r="C56" s="32" t="str">
        <x:v>Проекты 2 кв 2025</x:v>
      </x:c>
      <x:c r="D56" s="32" t="n">
        <x:v>31</x:v>
      </x:c>
      <x:c r="E56" s="32" t="str">
        <x:v>ТОО Умные города</x:v>
      </x:c>
      <x:c r="F56" s="32" t="str">
        <x:v>Аудит ФО</x:v>
      </x:c>
      <x:c r="G56" s="32" t="str">
        <x:v>ТОО Russell Bedford A+ Partners</x:v>
      </x:c>
      <x:c r="H56" s="32" t="str">
        <x:v>exact</x:v>
      </x:c>
      <x:c r="I56" s="32" t="str">
        <x:v>ТОО Умные города</x:v>
      </x:c>
      <x:c r="J56" s="32" t="n">
        <x:v>290</x:v>
      </x:c>
      <x:c r="K56" s="32" t="str">
        <x:v>conflict</x:v>
      </x:c>
      <x:c r="L56" s="32" t="str">
        <x:v>1. ТОО Умные города [255] (a6500e2c-4448-4d72-b8e7-d8f90fdd0338)
2. ТОО Умные города [255] (e267d0fc-dd1c-4edd-80c2-3a16090ca796)
3. АО Центр развития города Алматы [25] (9e2a9547-b14b-4c0e-920b-feaeca9694be)
4. АО Центр развития города Алматы [25] (6f92447c-8a3a-41aa-8ee2-62ae3f60aa15)
5. АО Центр развития города Алматы [25] (2cf1c9ae-dacb-4309-97da-4ea23e939f61)</x:v>
      </x:c>
      <x:c r="M56" s="32" t="str">
        <x:v>partner differs: existing 4cb72e5f-7375-4278-bd38-b29a7e4a197c vs Арнабеков Ерлан</x:v>
      </x:c>
      <x:c r="N56" s="32" t="str">
        <x:v>Кенжекулов Адилжан Абдикалыкович [partner]
Молдабаев Бауыржан Казыбекович [project_leader]</x:v>
      </x:c>
      <x:c r="O56" s="32" t="str">
        <x:v>Арнабеков Ерлан [partner]</x:v>
      </x:c>
      <x:c r="P56" s="33" t="b">
        <x:v>1</x:v>
      </x:c>
      <x:c r="Q56" s="32" t="str">
        <x:v>team_conflict</x:v>
      </x:c>
      <x:c r="R56" s="32" t="str">
        <x:v>merge_team_manually</x:v>
      </x:c>
      <x:c r="S56" s="32" t="str"/>
      <x:c r="T56" s="32" t="str"/>
      <x:c r="U56" s="32" t="str"/>
    </x:row>
    <x:row r="57" ht="42" customHeight="1">
      <x:c r="A57" s="32" t="str">
        <x:v>2 кв проекты 2025 rbi.xlsx::проекты 2 кв 2025::43</x:v>
      </x:c>
      <x:c r="B57" s="32" t="str">
        <x:v>2 кв Проекты 2025_RBI.xlsx</x:v>
      </x:c>
      <x:c r="C57" s="32" t="str">
        <x:v>Проекты 2 кв 2025</x:v>
      </x:c>
      <x:c r="D57" s="32" t="n">
        <x:v>43</x:v>
      </x:c>
      <x:c r="E57" s="32" t="str">
        <x:v>ТОО Aravt Group</x:v>
      </x:c>
      <x:c r="F57" s="32" t="str">
        <x:v>Аудит ФО</x:v>
      </x:c>
      <x:c r="G57" s="32" t="str">
        <x:v>ТОО Russell Bedford A+ Partners</x:v>
      </x:c>
      <x:c r="H57" s="32" t="str">
        <x:v>exact</x:v>
      </x:c>
      <x:c r="I57" s="32" t="str">
        <x:v>ТОО «Aravt Group» </x:v>
      </x:c>
      <x:c r="J57" s="32" t="n">
        <x:v>290</x:v>
      </x:c>
      <x:c r="K57" s="32" t="str">
        <x:v>exact</x:v>
      </x:c>
      <x:c r="L57" s="32" t="str">
        <x:v>1. ТОО «Aravt Group»  [255] (f4f139af-3fcc-499b-b25a-20722fac4772)
2. ТОО «Специальная финансовая компания «PARTNER GROUP» [37] (2f8615e4-a8ec-4cd1-86e8-3c9507a6c7b2)
3. ТОО «Специальная финансовая компания «PARTNER GROUP» [37] (8e9f5cf6-a2f6-4f56-b320-c4020a525a6a)
4. ТОО «Специальная финансовая компания «PARTNER GROUP» [37] (b9b10b11-eb15-4d85-9123-a7bae808a358)
5. ТОО «Специальная финансовая компания «PARTNER GROUP» [37] (a143c1c2-4567-4e1a-aec2-63dbc3e90927)</x:v>
      </x:c>
      <x:c r="M57" s="32" t="str">
        <x:v>partner differs: existing 6d356324-96a9-4eed-a832-f10f9588d5b7, 3ceb66d6-1ecf-4ab2-8a98-aa2436b9d0fd vs Арнабеков Ерлан</x:v>
      </x:c>
      <x:c r="N57" s="32" t="str">
        <x:v>Галымжанов Нурхан Нурланович [manager_3]
Мухашев Куаныш Кудашулы [partner]
Шынгыс Сартаев [partner]</x:v>
      </x:c>
      <x:c r="O57" s="32" t="str">
        <x:v>Арнабеков Ерлан [partner]</x:v>
      </x:c>
      <x:c r="P57" s="33" t="b">
        <x:v>1</x:v>
      </x:c>
      <x:c r="Q57" s="32" t="str">
        <x:v>team_conflict</x:v>
      </x:c>
      <x:c r="R57" s="32" t="str">
        <x:v>merge_team_manually</x:v>
      </x:c>
      <x:c r="S57" s="32" t="str"/>
      <x:c r="T57" s="32" t="str"/>
      <x:c r="U57" s="32" t="str"/>
    </x:row>
    <x:row r="58" ht="42" customHeight="1">
      <x:c r="A58" s="32" t="str">
        <x:v>2 кв проекты 2025 rbi.xlsx::проекты 2 кв 2025::58</x:v>
      </x:c>
      <x:c r="B58" s="32" t="str">
        <x:v>2 кв Проекты 2025_RBI.xlsx</x:v>
      </x:c>
      <x:c r="C58" s="32" t="str">
        <x:v>Проекты 2 кв 2025</x:v>
      </x:c>
      <x:c r="D58" s="32" t="n">
        <x:v>58</x:v>
      </x:c>
      <x:c r="E58" s="32" t="str">
        <x:v>ТОО Самсон Контролс</x:v>
      </x:c>
      <x:c r="F58" s="32" t="str">
        <x:v>Аудит ФО</x:v>
      </x:c>
      <x:c r="G58" s="32" t="str">
        <x:v>ТОО Russell Bedford A+ Partners</x:v>
      </x:c>
      <x:c r="H58" s="32" t="str">
        <x:v>exact</x:v>
      </x:c>
      <x:c r="I58" s="32" t="str">
        <x:v>ТОО «Самсон Контролс»</x:v>
      </x:c>
      <x:c r="J58" s="32" t="n">
        <x:v>290</x:v>
      </x:c>
      <x:c r="K58" s="32" t="str">
        <x:v>exact</x:v>
      </x:c>
      <x:c r="L58" s="32" t="str">
        <x:v>1. ТОО «Самсон Контролс» [255] (e9aa54d3-a0e9-4de7-8763-156c0d4bb201)
2. ТОО «Самсон Контролс»  - аудит финансовой отчетности дочерней компании SAMSON в Казахстане за год, закончившийся 31 декабря 2025 года, в соответствии с местными стандартами  [114] (cb429f10-8d51-425a-9496-ab4c96218a4b)
3. ТОО «Самсон Контролс»  - аудит финансовой отчетности дочерней компании SAMSON в Казахстане за год, закончившийся 31 декабря 2025 года, в соответствии с местными стандартами  [114] (1ba4bd06-f522-4562-93b1-9cd21cafd321)</x:v>
      </x:c>
      <x:c r="M58" s="32" t="str">
        <x:v>partner differs: existing 6d356324-96a9-4eed-a832-f10f9588d5b7 vs Арнабеков Ерлан</x:v>
      </x:c>
      <x:c r="N58" s="32" t="str">
        <x:v>Zhorabekov Zhanibek [manager_2]
Мухашев Куаныш Кудашулы [partner]</x:v>
      </x:c>
      <x:c r="O58" s="32" t="str">
        <x:v>Арнабеков Ерлан [partner]</x:v>
      </x:c>
      <x:c r="P58" s="33" t="b">
        <x:v>0</x:v>
      </x:c>
      <x:c r="Q58" s="32" t="str">
        <x:v>team_conflict</x:v>
      </x:c>
      <x:c r="R58" s="32" t="str">
        <x:v>merge_team_manually</x:v>
      </x:c>
      <x:c r="S58" s="32" t="str"/>
      <x:c r="T58" s="32" t="str"/>
      <x:c r="U58" s="32" t="str"/>
    </x:row>
    <x:row r="59" ht="42" customHeight="1">
      <x:c r="A59" s="32" t="str">
        <x:v>2 кв проекты 2025 rbi.xlsx::проекты 2 кв 2025::61</x:v>
      </x:c>
      <x:c r="B59" s="32" t="str">
        <x:v>2 кв Проекты 2025_RBI.xlsx</x:v>
      </x:c>
      <x:c r="C59" s="32" t="str">
        <x:v>Проекты 2 кв 2025</x:v>
      </x:c>
      <x:c r="D59" s="32" t="n">
        <x:v>61</x:v>
      </x:c>
      <x:c r="E59" s="32" t="str">
        <x:v>АО Компания по страх жизни ГАК</x:v>
      </x:c>
      <x:c r="F59" s="32" t="str">
        <x:v>Аудит ФО</x:v>
      </x:c>
      <x:c r="G59" s="32" t="str">
        <x:v>ТОО Russell Bedford A+ Partners</x:v>
      </x:c>
      <x:c r="H59" s="32" t="str">
        <x:v>conflict</x:v>
      </x:c>
      <x:c r="I59" s="32" t="str">
        <x:v>ТОО «Тойота Иншуранс Менеджмент (страховые брокеры)»  - услуг по проведению аудита отдельной и консолидированной финансовой отчетности ТОО «Тойота Иншуранс Менеджмент (страховые брокеры)» за 2025 год, подготовленной в соответствии с Международными Стандартами Финансовой Отчетности (МСФО )</x:v>
      </x:c>
      <x:c r="J59" s="32" t="n">
        <x:v>84</x:v>
      </x:c>
      <x:c r="K59" s="32" t="str">
        <x:v>conflict</x:v>
      </x:c>
      <x:c r="L59" s="32" t="str">
        <x:v>1. ТОО "MOI (МОЙ) страховой брокер" - услуг по проведению аудита отдельной и консолидированной финансовой отчетности ТОО "MOI  (МОЙ )страховой брокер" за период с 1 января 2025 года по 31 декабря 2025 года, подготовленной в соответствии с Международными Стандартами Финансовой Отчетности.  [84] (578bfc96-b4ca-4261-aac3-2e56ac66b884)
2. ТОО «Тойота Иншуранс Менеджмент (страховые брокеры)»  - услуг по проведению аудита отдельной и консолидированной финансовой отчетности ТОО «Тойота Иншуранс Менеджмент (страховые брокеры)» за 2025 год, подготовленной в соответствии с Международными Стандартами Финансовой Отчетности (МСФО ) [84] (05ac74d7-4693-4217-a0dd-af00de6de1a2)
3. АО "Компания по страхованию жизни "Государственная аннуитетная компания" [38] (83231bb0-033f-4863-a9d9-7d724f7fd957)
4. АО "Компания по страхованию жизни "Государственная аннуитетная компания" [38] (c269f1b0-ce0c-421a-9bbb-e6a33cca3597)
5. АО "Компания по страхованию жизни "Государственная аннуитетная компания" [38] (9bba5414-c818-4bc5-8964-91d7ca399b66)</x:v>
      </x:c>
      <x:c r="M59" s="32" t="str">
        <x:v>partner differs: existing 4cb72e5f-7375-4278-bd38-b29a7e4a197c vs Шынгыс Сартаев</x:v>
      </x:c>
      <x:c r="N59" s="32" t="str">
        <x:v>Кенжекулов Адилжан Абдикалыкович [partner]
Сауле Тримова [assistant_1]</x:v>
      </x:c>
      <x:c r="O59" s="32" t="str">
        <x:v>Шынгыс Сартаев [partner]</x:v>
      </x:c>
      <x:c r="P59" s="33" t="b">
        <x:v>1</x:v>
      </x:c>
      <x:c r="Q59" s="32" t="str">
        <x:v>needs_project_match</x:v>
      </x:c>
      <x:c r="R59" s="32" t="str">
        <x:v>choose_existing_project</x:v>
      </x:c>
      <x:c r="S59" s="32" t="str"/>
      <x:c r="T59" s="32" t="str"/>
      <x:c r="U59" s="32" t="str"/>
    </x:row>
    <x:row r="60" ht="42" customHeight="1">
      <x:c r="A60" s="32" t="str">
        <x:v>3 кв проекты 2024 rbi.xlsx::проекты 3 кв 2024::7</x:v>
      </x:c>
      <x:c r="B60" s="32" t="str">
        <x:v>3 кв Проекты 2024_RBI.xlsx</x:v>
      </x:c>
      <x:c r="C60" s="32" t="str">
        <x:v>Проекты 3 кв 2024 </x:v>
      </x:c>
      <x:c r="D60" s="32" t="n">
        <x:v>7</x:v>
      </x:c>
      <x:c r="E60" s="32" t="str">
        <x:v>Евразийский банк развития</x:v>
      </x:c>
      <x:c r="F60" s="32" t="str">
        <x:v>Аудит ФО</x:v>
      </x:c>
      <x:c r="G60" s="32" t="str">
        <x:v>IAC Russell Bedford A+ Partners LLP</x:v>
      </x:c>
      <x:c r="H60" s="32" t="str">
        <x:v>exact</x:v>
      </x:c>
      <x:c r="I60" s="32" t="str">
        <x:v>Евразийский Банк Развития</x:v>
      </x:c>
      <x:c r="J60" s="32" t="n">
        <x:v>290</x:v>
      </x:c>
      <x:c r="K60" s="32" t="str">
        <x:v>conflict</x:v>
      </x:c>
      <x:c r="L60" s="32" t="str">
        <x:v>1. Евразийский Банк Развития [255] (6b9d0d63-3bee-4644-bc6c-54f6e96798cb)
2. Евразийский Банк Развития [255] (d0a7ec18-3c0c-4c55-ac3f-c831848a5bc8)
3. Евразийский Банк Развития [255] (3dae62b4-160d-4501-a944-9a9a47812db5)
4. Евразийский Банк Развития [255] (c2835b4c-7418-4ae8-a55c-60cbbf05a706)
5. Евразийский Банк Развития [255] (66cc6990-9d56-4ad5-b7d4-be6573ec5929)</x:v>
      </x:c>
      <x:c r="M60" s="32" t="str">
        <x:v>partner differs: existing 3ceb66d6-1ecf-4ab2-8a98-aa2436b9d0fd vs Жумадилов Бакыт</x:v>
      </x:c>
      <x:c r="N60" s="32" t="str">
        <x:v>Калижан Адилет [assistant_1]
Максутов Данияр [assistant_1]
Нурулла Нугман [assistant_1]
Турлыгазина Дана Ерікқызы [assistant_1]
Хаирбеков Адиль [assistant_1]
Шынгыс Сартаев [partner]
Тайтаразов Максат [assistant_1]</x:v>
      </x:c>
      <x:c r="O60" s="32" t="str">
        <x:v>Жумадилов Бакыт [partner]
Хаирбеков Адиль [assistant_1]
Максутов Данияр [assistant_1]
Альдейб Камал [assistant_1]
Куптлеуова Альбина [assistant_1]</x:v>
      </x:c>
      <x:c r="P60" s="33" t="b">
        <x:v>1</x:v>
      </x:c>
      <x:c r="Q60" s="32" t="str">
        <x:v>team_conflict</x:v>
      </x:c>
      <x:c r="R60" s="32" t="str">
        <x:v>merge_team_manually</x:v>
      </x:c>
      <x:c r="S60" s="32" t="str"/>
      <x:c r="T60" s="32" t="str"/>
      <x:c r="U60" s="32" t="str"/>
    </x:row>
    <x:row r="61" ht="42" customHeight="1">
      <x:c r="A61" s="32" t="str">
        <x:v>3 кв проекты 2024 rbi.xlsx::проекты 3 кв 2024::13</x:v>
      </x:c>
      <x:c r="B61" s="32" t="str">
        <x:v>3 кв Проекты 2024_RBI.xlsx</x:v>
      </x:c>
      <x:c r="C61" s="32" t="str">
        <x:v>Проекты 3 кв 2024 </x:v>
      </x:c>
      <x:c r="D61" s="32" t="n">
        <x:v>13</x:v>
      </x:c>
      <x:c r="E61" s="32" t="str">
        <x:v>АО Lancaster Group Kazakhstan</x:v>
      </x:c>
      <x:c r="F61" s="32" t="str">
        <x:v>Аудит ФО</x:v>
      </x:c>
      <x:c r="G61" s="32" t="str">
        <x:v>IAC Russell Bedford A+ Partners LLP</x:v>
      </x:c>
      <x:c r="H61" s="32" t="str">
        <x:v>exact</x:v>
      </x:c>
      <x:c r="I61" s="32" t="str">
        <x:v>Частная компания ANKA CAPITAL LTD (Группа компаний АО "Lancaster Group Kazakhstan") </x:v>
      </x:c>
      <x:c r="J61" s="32" t="n">
        <x:v>170</x:v>
      </x:c>
      <x:c r="K61" s="32" t="str">
        <x:v>exact</x:v>
      </x:c>
      <x:c r="L61" s="32" t="str">
        <x:v>1. АО Lancaster Group Kazakhstan [255] (3b22dd3f-37d0-40ec-8485-ce3b9b72c21f)
2. «Berkut Mining» (Беркут Майнинг) (группа компаний АО Lancaster Group Kazakhstan) [135] (962f3649-f91b-4af2-87d2-7da045e6dda7)
3. Частная компания ANKA CAPITAL LTD (Группа компаний АО "Lancaster Group Kazakhstan")  [135] (27d15f79-0343-4289-ad13-0427587698a0)</x:v>
      </x:c>
      <x:c r="M61" s="32" t="str">
        <x:v>partner differs: existing 3ceb66d6-1ecf-4ab2-8a98-aa2436b9d0fd, 4cb72e5f-7375-4278-bd38-b29a7e4a197c vs Сауле Бадамбаева</x:v>
      </x:c>
      <x:c r="N61" s="32" t="str">
        <x:v>Саукымбек Руслан [assistant_2]
Кенжебек Мая Тельманкызы [manager_1]
Турехан Гульнар [assistant_1]
Сауле Бадамбаева [partner]
Кенжебек Мая Тельманкызы [project_leader]
Гульжан Чалова [manager_1]</x:v>
      </x:c>
      <x:c r="O61" s="32" t="str">
        <x:v>Сауле Бадамбаева [partner]</x:v>
      </x:c>
      <x:c r="P61" s="33" t="b">
        <x:v>0</x:v>
      </x:c>
      <x:c r="Q61" s="32" t="str">
        <x:v>team_conflict</x:v>
      </x:c>
      <x:c r="R61" s="32" t="str">
        <x:v>merge_team_manually</x:v>
      </x:c>
      <x:c r="S61" s="32" t="str"/>
      <x:c r="T61" s="32" t="str"/>
      <x:c r="U61" s="32" t="str"/>
    </x:row>
    <x:row r="62" ht="42" customHeight="1">
      <x:c r="A62" s="32" t="str">
        <x:v>3 кв проекты 2024 rbi.xlsx::проекты 3 кв 2024::17</x:v>
      </x:c>
      <x:c r="B62" s="32" t="str">
        <x:v>3 кв Проекты 2024_RBI.xlsx</x:v>
      </x:c>
      <x:c r="C62" s="32" t="str">
        <x:v>Проекты 3 кв 2024 </x:v>
      </x:c>
      <x:c r="D62" s="32" t="n">
        <x:v>17</x:v>
      </x:c>
      <x:c r="E62" s="32" t="str">
        <x:v>АО «Акционерный инвестиционный фонд рискового инвестирования «Алем Капитал»</x:v>
      </x:c>
      <x:c r="F62" s="32" t="str">
        <x:v>Аудит ФО</x:v>
      </x:c>
      <x:c r="G62" s="32" t="str">
        <x:v>IAC Russell Bedford A+ Partners LLP</x:v>
      </x:c>
      <x:c r="H62" s="32" t="str">
        <x:v>probable</x:v>
      </x:c>
      <x:c r="I62" s="32" t="str">
        <x:v>АО «Акционерный инвестиционный фонд рискового инвестирования «TG MED» от Тримовой Сауле</x:v>
      </x:c>
      <x:c r="J62" s="32" t="n">
        <x:v>83</x:v>
      </x:c>
      <x:c r="K62" s="32" t="str">
        <x:v>not_found</x:v>
      </x:c>
      <x:c r="L62" s="32" t="str">
        <x:v>1. АО «Акционерный инвестиционный фонд рискового инвестирования «TG MED» от Тримовой Сауле [48] (0a22ced6-daec-40ec-82ef-b9ad21d0eba6)
2. АО «Акционерный инвестиционный фонд недвижимости «TG AL-Farabi» от Тримовой Сауле [33] (44929955-29b6-4407-b935-e71be44d7d0e)</x:v>
      </x:c>
      <x:c r="M62" s="32" t="str">
        <x:v>partner differs: existing 4cb72e5f-7375-4278-bd38-b29a7e4a197c vs Шынгыс Сартаев</x:v>
      </x:c>
      <x:c r="N62" s="32" t="str"/>
      <x:c r="O62" s="32" t="str">
        <x:v>Шынгыс Сартаев [partner]</x:v>
      </x:c>
      <x:c r="P62" s="33" t="b">
        <x:v>0</x:v>
      </x:c>
      <x:c r="Q62" s="32" t="str">
        <x:v>team_conflict</x:v>
      </x:c>
      <x:c r="R62" s="32" t="str">
        <x:v>merge_team_manually</x:v>
      </x:c>
      <x:c r="S62" s="32" t="str"/>
      <x:c r="T62" s="32" t="str"/>
      <x:c r="U62" s="32" t="str"/>
    </x:row>
    <x:row r="63" ht="42" customHeight="1">
      <x:c r="A63" s="32" t="str">
        <x:v>4 кв проекты 2024 rbi.xlsx::проекты 4 кв 2024::3</x:v>
      </x:c>
      <x:c r="B63" s="32" t="str">
        <x:v>4 кв Проекты 2024_RBI.xlsx</x:v>
      </x:c>
      <x:c r="C63" s="32" t="str">
        <x:v>Проекты 4 кв 2024 </x:v>
      </x:c>
      <x:c r="D63" s="32" t="n">
        <x:v>3</x:v>
      </x:c>
      <x:c r="E63" s="32" t="str">
        <x:v>ТОО Микрофинансовая организация Almaty</x:v>
      </x:c>
      <x:c r="F63" s="32" t="str"/>
      <x:c r="G63" s="32" t="str"/>
      <x:c r="H63" s="32" t="str">
        <x:v>conflict</x:v>
      </x:c>
      <x:c r="I63" s="32" t="str">
        <x:v>ТОО «Микрофинансовая организация ФРИДОМ ФИНАНС Кредит»</x:v>
      </x:c>
      <x:c r="J63" s="32" t="n">
        <x:v>68</x:v>
      </x:c>
      <x:c r="K63" s="32" t="str">
        <x:v>not_found</x:v>
      </x:c>
      <x:c r="L63" s="32" t="str">
        <x:v>1. ТОО «Микрофинансовая организация «Finbox»  [33] (c7ea58fc-03ee-4831-8523-4105f050fd2f)
2. ТОО «Микрофинансовая организация «Finbox»  [33] (4af423c5-3c6c-4701-b263-d32b92a893ca)
3. ТОО «Микрофинансовая организация «Finbox»  [33] (99da55db-2516-4284-9766-0924ff68b6a8)
4. ТОО «Микрофинансовая Организация «MOST» [33] (4b26dc77-d9c7-489c-b375-2c7b7f5de62e)
5. ТОО «Микрофинансовая организация ФРИДОМ ФИНАНС Кредит» [33] (ee88c6d0-e1ea-4846-b6fb-3170a48358ea)</x:v>
      </x:c>
      <x:c r="M63" s="32" t="str">
        <x:v>partner differs: existing 4cb72e5f-7375-4278-bd38-b29a7e4a197c vs Сауле Бадамбаева</x:v>
      </x:c>
      <x:c r="N63" s="32" t="str"/>
      <x:c r="O63" s="32" t="str">
        <x:v>Сауле Бадамбаева [partner]
Жаркымбекова Камиля [assistant_1]</x:v>
      </x:c>
      <x:c r="P63" s="33" t="b">
        <x:v>0</x:v>
      </x:c>
      <x:c r="Q63" s="32" t="str">
        <x:v>needs_project_match</x:v>
      </x:c>
      <x:c r="R63" s="32" t="str">
        <x:v>choose_existing_project</x:v>
      </x:c>
      <x:c r="S63" s="32" t="str"/>
      <x:c r="T63" s="32" t="str"/>
      <x:c r="U63" s="32" t="str"/>
    </x:row>
    <x:row r="64" ht="42" customHeight="1">
      <x:c r="A64" s="32" t="str">
        <x:v>гульмира аудит фо 2025 2026 проекты.xlsx::главный::3</x:v>
      </x:c>
      <x:c r="B64" s="32" t="str">
        <x:v>Гульмира_Аудит ФО 2025-2026_Проекты.xlsx</x:v>
      </x:c>
      <x:c r="C64" s="32" t="str">
        <x:v>Главный</x:v>
      </x:c>
      <x:c r="D64" s="32" t="n">
        <x:v>3</x:v>
      </x:c>
      <x:c r="E64" s="32" t="str">
        <x:v>АО "Инвестиционный фонд Казахстана"</x:v>
      </x:c>
      <x:c r="F64" s="32" t="str">
        <x:v>аудит КФО и ОФО 2025</x:v>
      </x:c>
      <x:c r="G64" s="32" t="str">
        <x:v>ТОО "Anderson Qazaqstan"</x:v>
      </x:c>
      <x:c r="H64" s="32" t="str">
        <x:v>conflict</x:v>
      </x:c>
      <x:c r="I64" s="32" t="str">
        <x:v>АО «Акционерный инвестиционный фонд недвижимости «TG AL-Farabi» от Тримовой Сауле</x:v>
      </x:c>
      <x:c r="J64" s="32" t="n">
        <x:v>97</x:v>
      </x:c>
      <x:c r="K64" s="32" t="str">
        <x:v>not_found</x:v>
      </x:c>
      <x:c r="L64" s="32" t="str">
        <x:v>1. АО «Акционерный инвестиционный фонд недвижимости «TG AL-Farabi» от Тримовой Сауле [45] (44929955-29b6-4407-b935-e71be44d7d0e)
2. АО «Акционерный инвестиционный фонд рискового инвестирования «TG MED» от Тримовой Сауле [45] (0a22ced6-daec-40ec-82ef-b9ad21d0eba6)
3. АО «Национальные информационные технологии» - на безвозмездное оказание аудиторских услуг - услуг по проведению аудита отдельной и консолидированной финансовой отчетности Акционерного общества «Национальные информационные технологии», заканчивающийся 31.12.2025 года, подготовленной в соответствии с Международными Стандартами Финансовой Отчетности, для предоставления и размещения на фондовой бирже KASE.KZ и не используется для иных целей, в том числе для бухгалтерского и налогового учета Заказчика  [31] (905166ec-326e-4e60-9273-fce0d09191f7)
4. Евразийский фонд стабилизации и развития - аудит финансовой отчетности специального назначения по Проекту «Строительство и материально-техническое оснащение общеобразовательных учреждений в Кыргызской Республике» по состоянию на 31 декабря 2025 года [31] (87e9a80a-18f2-4301-b91b-3d993198cbc4)
5. Корпоративный фонд Zhyly Zhurek Foundation  - Предметом договора являются Услуги по проведению аудита финансовой отчетности за
деятельность Заказчика за период 12 месяцев 2025 года, подготовленной в соответствии с
Международными Стандартами Финансовой Отчетности (МСФО) с выдачей Отчета независимого
аудитора по аудиту годовой финансовой отчетности, на английском и русском языках, письма
руководству с замечаниями по результатам аудита.
2.2. Договор и приложения к нему утверждаются путем подписания через электронные порталы
Doculite/Documentolog. Исполнитель должен быть зарегистрирован на указанных порталах. [31] (064f1107-57c8-4fd4-a36c-2ec5b9d268f8)</x:v>
      </x:c>
      <x:c r="M64" s="32" t="str">
        <x:v>partner differs: existing 4cb72e5f-7375-4278-bd38-b29a7e4a197c vs Ержан Тумабеков
partner differs: existing 4cb72e5f-7375-4278-bd38-b29a7e4a197c vs Мухашев Куаныш Кудашулы</x:v>
      </x:c>
      <x:c r="N64" s="32" t="str"/>
      <x:c r="O64" s="32" t="str">
        <x:v>Ержан Тумабеков [partner]
Сейфуллина Гульмира Саятхановна [project_leader]
Мухашев Куаныш Кудашулы [partner]</x:v>
      </x:c>
      <x:c r="P64" s="33" t="b">
        <x:v>0</x:v>
      </x:c>
      <x:c r="Q64" s="32" t="str">
        <x:v>needs_project_match</x:v>
      </x:c>
      <x:c r="R64" s="32" t="str">
        <x:v>choose_existing_project</x:v>
      </x:c>
      <x:c r="S64" s="32" t="str"/>
      <x:c r="T64" s="32" t="str"/>
      <x:c r="U64" s="32" t="str"/>
    </x:row>
    <x:row r="65" ht="42" customHeight="1">
      <x:c r="A65" s="32" t="str">
        <x:v>гульмира аудит фо 2025 2026 проекты.xlsx::главный::7</x:v>
      </x:c>
      <x:c r="B65" s="32" t="str">
        <x:v>Гульмира_Аудит ФО 2025-2026_Проекты.xlsx</x:v>
      </x:c>
      <x:c r="C65" s="32" t="str">
        <x:v>Главный</x:v>
      </x:c>
      <x:c r="D65" s="32" t="n">
        <x:v>7</x:v>
      </x:c>
      <x:c r="E65" s="32" t="str">
        <x:v>ТОО "IC Petroleum"</x:v>
      </x:c>
      <x:c r="F65" s="32" t="str">
        <x:v>аудит КФО, ОФО 2025</x:v>
      </x:c>
      <x:c r="G65" s="32" t="str">
        <x:v>ТОО МАК "RB Partners"</x:v>
      </x:c>
      <x:c r="H65" s="32" t="str">
        <x:v>exact</x:v>
      </x:c>
      <x:c r="I65" s="32" t="str">
        <x:v>ТОО «IC Petroleum»</x:v>
      </x:c>
      <x:c r="J65" s="32" t="n">
        <x:v>290</x:v>
      </x:c>
      <x:c r="K65" s="32" t="str">
        <x:v>conflict</x:v>
      </x:c>
      <x:c r="L65" s="32" t="str">
        <x:v>1. ТОО «IC Petroleum» [255] (547952f2-2cd6-4295-ba50-57ab7bd6dd90)
2. ТОО «IC Petroleum» [255] (6dee8a60-e159-466f-8d66-851df9d3bd11)
3. ТОО BSG Oil дочка ТОО IC Petroleum - услуги аудита финансовой отчетности  [159] (13072661-b653-4620-85a5-20d630e74fd8)
4. ТОО «IC Petroleum» (за период 2024-2026) [90] (3dac1a32-a0c9-4a40-853b-de6798112d4a)
5. ТОО «IC Petroleum» (за период 2024-2026) [90] (1663f55b-eb10-46c9-9803-d977c3c8e42f)</x:v>
      </x:c>
      <x:c r="M65" s="32" t="str">
        <x:v>partner differs: existing abcc8390-7263-4e9a-aefd-fd177a8509bd vs Арнабеков Ерлан</x:v>
      </x:c>
      <x:c r="N65" s="32" t="str">
        <x:v>Арнабекова Гулшат [manager_1]
Куптлеуова Альбина [assistant_1]
Сейфуллина Гульмира Саятхановна [partner]
Ерлан Худайберген [tax_specialist_1]</x:v>
      </x:c>
      <x:c r="O65" s="32" t="str">
        <x:v>Арнабеков Ерлан [partner]
Сейфуллина Гульмира Саятхановна [project_leader]</x:v>
      </x:c>
      <x:c r="P65" s="33" t="b">
        <x:v>0</x:v>
      </x:c>
      <x:c r="Q65" s="32" t="str">
        <x:v>team_conflict</x:v>
      </x:c>
      <x:c r="R65" s="32" t="str">
        <x:v>merge_team_manually</x:v>
      </x:c>
      <x:c r="S65" s="32" t="str"/>
      <x:c r="T65" s="32" t="str"/>
      <x:c r="U65" s="32" t="str"/>
    </x:row>
    <x:row r="66" ht="42" customHeight="1">
      <x:c r="A66" s="32" t="str">
        <x:v>гульмира аудит фо 2025 2026 проекты.xlsx::главный::15</x:v>
      </x:c>
      <x:c r="B66" s="32" t="str">
        <x:v>Гульмира_Аудит ФО 2025-2026_Проекты.xlsx</x:v>
      </x:c>
      <x:c r="C66" s="32" t="str">
        <x:v>Главный</x:v>
      </x:c>
      <x:c r="D66" s="32" t="n">
        <x:v>15</x:v>
      </x:c>
      <x:c r="E66" s="32" t="str">
        <x:v>ТОО "Консолидированная строительная горнорудная компания"</x:v>
      </x:c>
      <x:c r="F66" s="32" t="str">
        <x:v>аудит ФО 2025</x:v>
      </x:c>
      <x:c r="G66" s="32" t="str">
        <x:v>ТОО МАК "RB Partners"</x:v>
      </x:c>
      <x:c r="H66" s="32" t="str">
        <x:v>exact</x:v>
      </x:c>
      <x:c r="I66" s="32" t="str">
        <x:v>ТОО «Консолидированная Строительная Горнорудная Компания»</x:v>
      </x:c>
      <x:c r="J66" s="32" t="n">
        <x:v>290</x:v>
      </x:c>
      <x:c r="K66" s="32" t="str">
        <x:v>exact</x:v>
      </x:c>
      <x:c r="L66" s="32" t="str">
        <x:v>1. ТОО «Консолидированная Строительная Горнорудная Компания» [255] (26d3b3fb-b7c3-4ca5-8360-a342f4ef5682)
2. ТОО «Консолидированная Строительная Горнорудная Компания» - услуг по проведению аудита финансовой отчетности ТОО «Консолидированная Строительная Горнорудная Компания» за 2025 год, подготовленной в соответствии с Международными Стандартами Финансовой Отчетности (МСФО)  [194] (cfd3b502-9253-4dba-96ba-b43f5f399aa7)
3. АО «Национальная горнорудная компания «Тау-Кен Самрук» (аудит за 2025-2029гг) [19] (bba4e3dd-d508-418f-9c48-23ce65dbc4f9)
4. АО «Национальная горнорудная компания «Тау-Кен Самрук» (аудит за 2025-2029гг) [19] (2eb886af-107b-45b1-be4d-7fad12337505)
5. АО «Национальная горнорудная компания «Тау-Кен Самрук» (аудит за 2025-2029гг) [19] (44ca9c70-7135-43bc-bb8e-17a1f714cd77)</x:v>
      </x:c>
      <x:c r="M66" s="32" t="str">
        <x:v>partner differs: existing 4cb72e5f-7375-4278-bd38-b29a7e4a197c vs Арнабеков Ерлан
project leader differs: existing 967d77e8-774f-4a9a-a5db-37c33e6dc729 vs Сейфуллина Гульмира Саятхановна</x:v>
      </x:c>
      <x:c r="N66" s="32" t="str">
        <x:v>Арнабекова Гулшат [manager_1]
Искаков Аскар [assistant_1]
Ерлан Худайберген [tax_specialist_1]
Жамбыл Ернур [assistant_1]
Zabira Yerlankyzy [supervisor_1]
Кенжекулов Адилжан Абдикалыкович [partner]
Галымжанов Нурхан Нурланович [project_leader]</x:v>
      </x:c>
      <x:c r="O66" s="32" t="str">
        <x:v>Арнабеков Ерлан [partner]
Сейфуллина Гульмира Саятхановна [project_leader]</x:v>
      </x:c>
      <x:c r="P66" s="33" t="b">
        <x:v>0</x:v>
      </x:c>
      <x:c r="Q66" s="32" t="str">
        <x:v>team_conflict</x:v>
      </x:c>
      <x:c r="R66" s="32" t="str">
        <x:v>merge_team_manually</x:v>
      </x:c>
      <x:c r="S66" s="32" t="str"/>
      <x:c r="T66" s="32" t="str"/>
      <x:c r="U66" s="32" t="str"/>
    </x:row>
    <x:row r="67" ht="42" customHeight="1">
      <x:c r="A67" s="32" t="str">
        <x:v>гульмира аудит фо 2025 2026 проекты.xlsx::главный::18</x:v>
      </x:c>
      <x:c r="B67" s="32" t="str">
        <x:v>Гульмира_Аудит ФО 2025-2026_Проекты.xlsx</x:v>
      </x:c>
      <x:c r="C67" s="32" t="str">
        <x:v>Главный</x:v>
      </x:c>
      <x:c r="D67" s="32" t="n">
        <x:v>18</x:v>
      </x:c>
      <x:c r="E67" s="32" t="str">
        <x:v>ТОО "КНИСК" (Шымкент)</x:v>
      </x:c>
      <x:c r="F67" s="32" t="str">
        <x:v>аудит ФО 2025</x:v>
      </x:c>
      <x:c r="G67" s="32" t="str">
        <x:v>ТОО МАК "RB Partners"</x:v>
      </x:c>
      <x:c r="H67" s="32" t="str">
        <x:v>probable</x:v>
      </x:c>
      <x:c r="I67" s="32" t="str">
        <x:v>АО Шымкентмай - услуг по проведению аудита финансовой отчетности АО «Шымкент Май» за период с 1 января 2025 года по 31 декабря 2025 года, подготовленной в соответствии с Международными Стандартами Финансовой Отчетности </x:v>
      </x:c>
      <x:c r="J67" s="32" t="n">
        <x:v>84</x:v>
      </x:c>
      <x:c r="K67" s="32" t="str">
        <x:v>probable</x:v>
      </x:c>
      <x:c r="L67" s="32" t="str">
        <x:v>1. АО Шымкентмай - услуг по проведению аудита финансовой отчетности АО «Шымкент Май» за период с 1 января 2025 года по 31 декабря 2025 года, подготовленной в соответствии с Международными Стандартами Финансовой Отчетности  [84] (19a1559b-f468-48a5-afc5-61c502f22cba)
2. Акционерное общество "Аэропорт Шымкент" - Услуги по проведению аудита финансовой отчетности [49] (c4918675-722f-4082-92f2-f0bbc58d23e0)
3. АО «Шымкентмай» [25] (7254ed7e-a756-4ea8-a331-7d1acc8636ec)
4. АО Аэропорт Шымкент [25] (be9f9cca-5284-4abd-b5ef-157bfbb5af59)</x:v>
      </x:c>
      <x:c r="M67" s="32" t="str">
        <x:v>partner differs: existing 083dfc70-1816-4fcf-9fd5-d5d8cba8ee1c vs Арнабеков Ерлан</x:v>
      </x:c>
      <x:c r="N67" s="32" t="str">
        <x:v>Адилжан Кенжекулов [partner]</x:v>
      </x:c>
      <x:c r="O67" s="32" t="str">
        <x:v>Арнабеков Ерлан [partner]
Сейфуллина Гульмира Саятхановна [project_leader]</x:v>
      </x:c>
      <x:c r="P67" s="33" t="b">
        <x:v>0</x:v>
      </x:c>
      <x:c r="Q67" s="32" t="str">
        <x:v>team_conflict</x:v>
      </x:c>
      <x:c r="R67" s="32" t="str">
        <x:v>merge_team_manually</x:v>
      </x:c>
      <x:c r="S67" s="32" t="str"/>
      <x:c r="T67" s="32" t="str"/>
      <x:c r="U67" s="32" t="str"/>
    </x:row>
    <x:row r="68" ht="42" customHeight="1">
      <x:c r="A68" s="32" t="str">
        <x:v>гульмира аудит фо 2025 2026 проекты.xlsx::главный::20</x:v>
      </x:c>
      <x:c r="B68" s="32" t="str">
        <x:v>Гульмира_Аудит ФО 2025-2026_Проекты.xlsx</x:v>
      </x:c>
      <x:c r="C68" s="32" t="str">
        <x:v>Главный</x:v>
      </x:c>
      <x:c r="D68" s="32" t="n">
        <x:v>20</x:v>
      </x:c>
      <x:c r="E68" s="32" t="str">
        <x:v>ТОО "Коксуский сахарный завод" + 8 компаний Группы</x:v>
      </x:c>
      <x:c r="F68" s="32" t="str">
        <x:v>аудит ФО 2026</x:v>
      </x:c>
      <x:c r="G68" s="32" t="str">
        <x:v>ТОО МАК "RB Partners"</x:v>
      </x:c>
      <x:c r="H68" s="32" t="str">
        <x:v>conflict</x:v>
      </x:c>
      <x:c r="I68" s="32" t="str">
        <x:v>Филиал компании «Мангистау Пауэр Б.В.»  - 1.1.	Заказчик поручает и оплачивает, а Исполнитель принимает на себя обязательство по оказанию Заказчику:
1.1.1. Аудит финансовой отчетности за год, закончившийся 31 декабря 2025 года, в соответствии с местными стандартами;
1.1.2. Выполнение указаний аудиторов Группы </x:v>
      </x:c>
      <x:c r="J68" s="32" t="n">
        <x:v>79</x:v>
      </x:c>
      <x:c r="K68" s="32" t="str">
        <x:v>exact</x:v>
      </x:c>
      <x:c r="L68" s="32" t="str">
        <x:v>1. ТОО «Коксуский сахарный завод» [115] (1e186042-ed87-4a1d-b891-a6d502175071)
2. АО Костанайские минералы - Аудит консолидированной финансовой отчетности  группы АО «Костанайские минералы" за 2026 год, подготовленной в соответствии с международными стандартами финансовой отчетности    [24] (4b95571d-867b-45da-a804-7bcb17f667b6)
3. ТОО Коксуский сахарный завод  - услуг по проведению аудита финансовой отчетности за период с 1 января 2025 года по 31 декабря 2025 года  [9] (ef7bff7b-9f43-4e25-a502-97a6cd718b97)</x:v>
      </x:c>
      <x:c r="M68" s="32" t="str">
        <x:v>partner differs: existing 3ceb66d6-1ecf-4ab2-8a98-aa2436b9d0fd vs Арнабеков Ерлан</x:v>
      </x:c>
      <x:c r="N68" s="32" t="str">
        <x:v>Арнабекова Гулшат [manager_1]
Бекжанов Бақытжан Абылқасымұлы [supervisor_1]
Zabira Yerlankyzy [supervisor_1]
Ушурбакиева Рошангуль [assistant_1]
Пономарёв Юрий Максимович [assistant_1]
Арнабеков Ерлан [partner]
Сейфуллина Гульмира Саятхановна [project_leader]
Чалова Гульжан [manager_1]
Сагадат Марат [assistant_1]
Ермек Лебеков [assistant_1]</x:v>
      </x:c>
      <x:c r="O68" s="32" t="str">
        <x:v>Арнабеков Ерлан [partner]
Сейфуллина Гульмира Саятхановна [project_leader]</x:v>
      </x:c>
      <x:c r="P68" s="33" t="b">
        <x:v>1</x:v>
      </x:c>
      <x:c r="Q68" s="32" t="str">
        <x:v>needs_project_match</x:v>
      </x:c>
      <x:c r="R68" s="32" t="str">
        <x:v>choose_existing_project</x:v>
      </x:c>
      <x:c r="S68" s="32" t="str"/>
      <x:c r="T68" s="32" t="str"/>
      <x:c r="U68" s="32" t="str"/>
    </x:row>
    <x:row r="69" ht="42" customHeight="1">
      <x:c r="A69" s="32" t="str">
        <x:v>сейфулина проекты октябрь 2024 октябрь 2025.xlsx::anderson::5</x:v>
      </x:c>
      <x:c r="B69" s="32" t="str">
        <x:v>Сейфулина_Проекты октябрь 2024-октябрь 2025.xlsx</x:v>
      </x:c>
      <x:c r="C69" s="32" t="str">
        <x:v>Anderson</x:v>
      </x:c>
      <x:c r="D69" s="32" t="n">
        <x:v>5</x:v>
      </x:c>
      <x:c r="E69" s="32" t="str">
        <x:v>ТОО "Мангистауский атомный энергетический комбинат"</x:v>
      </x:c>
      <x:c r="F69" s="32" t="str">
        <x:v>Аудит ФО за 2024 г.</x:v>
      </x:c>
      <x:c r="G69" s="32" t="str"/>
      <x:c r="H69" s="32" t="str">
        <x:v>exact</x:v>
      </x:c>
      <x:c r="I69" s="32" t="str">
        <x:v>ТОО "Мангистауский атомный энергетический
комбинат"</x:v>
      </x:c>
      <x:c r="J69" s="32" t="n">
        <x:v>290</x:v>
      </x:c>
      <x:c r="K69" s="32" t="str">
        <x:v>conflict</x:v>
      </x:c>
      <x:c r="L69" s="32" t="str">
        <x:v>1. ТОО "Мангистауский атомный энергетический
комбинат" [255] (bd1f61bd-57f7-47d5-88f4-f623d2f729d7)
2. ТОО "Мангистауский атомный энергетический
комбинат" [255] (e288f56a-5b2d-4931-b472-a342d2107658)
3. ТОО "Мангистауский атомный энергетический
комбинат" [255] (09071438-30e0-4649-9b36-10eb3f7c3fab)
4. ТОО "Мангистауский атомный энергетический
комбинат" [255] (5d636e18-e6fa-4063-ad1c-be34e6f6e319)
5. ТОО "Мангистауский атомный энергетический
комбинат" [255] (c80425a0-6ca4-48e6-aa55-2e8fb7c19fc7)</x:v>
      </x:c>
      <x:c r="M69" s="32" t="str">
        <x:v>partner differs: existing 6d356324-96a9-4eed-a832-f10f9588d5b7, abcc8390-7263-4e9a-aefd-fd177a8509bd vs Мухашев Куаныш Кудашулы</x:v>
      </x:c>
      <x:c r="N69" s="32" t="str">
        <x:v>Арнабекова Гулшат [manager_1]
Казбекова Малика [assistant_1]
Мухашев Куаныш Кудашулы [partner]
Сейфуллина Гульмира Саятхановна [partner]
Ерлан Худайберген [tax_specialist_1]
Чалова Гульжан [manager_1]
Пономарёв Юрий Максимович [assistant_1]</x:v>
      </x:c>
      <x:c r="O69" s="32" t="str">
        <x:v>Мухашев Куаныш Кудашулы [partner]
Сейфуллина Гульмира Саятхановна [project_leader]
Ерлан Худайберген [tax_specialist_1]
Арнабекова Гулшат [manager_1]
Чалова Гульжан [manager_1]</x:v>
      </x:c>
      <x:c r="P69" s="33" t="b">
        <x:v>0</x:v>
      </x:c>
      <x:c r="Q69" s="32" t="str">
        <x:v>team_conflict</x:v>
      </x:c>
      <x:c r="R69" s="32" t="str">
        <x:v>merge_team_manually</x:v>
      </x:c>
      <x:c r="S69" s="32" t="str"/>
      <x:c r="T69" s="32" t="str"/>
      <x:c r="U69" s="32" t="str"/>
    </x:row>
    <x:row r="70" ht="42" customHeight="1">
      <x:c r="A70" s="32" t="str">
        <x:v>сейфулина проекты октябрь 2024 октябрь 2025.xlsx::anderson::6</x:v>
      </x:c>
      <x:c r="B70" s="32" t="str">
        <x:v>Сейфулина_Проекты октябрь 2024-октябрь 2025.xlsx</x:v>
      </x:c>
      <x:c r="C70" s="32" t="str">
        <x:v>Anderson</x:v>
      </x:c>
      <x:c r="D70" s="32" t="n">
        <x:v>6</x:v>
      </x:c>
      <x:c r="E70" s="32" t="str">
        <x:v>АО "Инвестиционный фонд Казахстана"</x:v>
      </x:c>
      <x:c r="F70" s="32" t="str">
        <x:v>Аудит ФО за 2023 и 2024 гг. (КФО и ОФО)</x:v>
      </x:c>
      <x:c r="G70" s="32" t="str"/>
      <x:c r="H70" s="32" t="str">
        <x:v>conflict</x:v>
      </x:c>
      <x:c r="I70" s="32" t="str">
        <x:v>АО «Акционерный инвестиционный фонд недвижимости «TG AL-Farabi» от Тримовой Сауле</x:v>
      </x:c>
      <x:c r="J70" s="32" t="n">
        <x:v>97</x:v>
      </x:c>
      <x:c r="K70" s="32" t="str">
        <x:v>not_found</x:v>
      </x:c>
      <x:c r="L70" s="32" t="str">
        <x:v>1. АО «Акционерный инвестиционный фонд недвижимости «TG AL-Farabi» от Тримовой Сауле [45] (44929955-29b6-4407-b935-e71be44d7d0e)
2. АО «Акционерный инвестиционный фонд рискового инвестирования «TG MED» от Тримовой Сауле [45] (0a22ced6-daec-40ec-82ef-b9ad21d0eba6)
3. АО «Национальные информационные технологии» - на безвозмездное оказание аудиторских услуг - услуг по проведению аудита отдельной и консолидированной финансовой отчетности Акционерного общества «Национальные информационные технологии», заканчивающийся 31.12.2025 года, подготовленной в соответствии с Международными Стандартами Финансовой Отчетности, для предоставления и размещения на фондовой бирже KASE.KZ и не используется для иных целей, в том числе для бухгалтерского и налогового учета Заказчика  [31] (905166ec-326e-4e60-9273-fce0d09191f7)
4. Евразийский фонд стабилизации и развития - аудит финансовой отчетности специального назначения по Проекту «Строительство и материально-техническое оснащение общеобразовательных учреждений в Кыргызской Республике» по состоянию на 31 декабря 2025 года [31] (87e9a80a-18f2-4301-b91b-3d993198cbc4)
5. Корпоративный фонд Zhyly Zhurek Foundation  - Предметом договора являются Услуги по проведению аудита финансовой отчетности за
деятельность Заказчика за период 12 месяцев 2025 года, подготовленной в соответствии с
Международными Стандартами Финансовой Отчетности (МСФО) с выдачей Отчета независимого
аудитора по аудиту годовой финансовой отчетности, на английском и русском языках, письма
руководству с замечаниями по результатам аудита.
2.2. Договор и приложения к нему утверждаются путем подписания через электронные порталы
Doculite/Documentolog. Исполнитель должен быть зарегистрирован на указанных порталах. [31] (064f1107-57c8-4fd4-a36c-2ec5b9d268f8)</x:v>
      </x:c>
      <x:c r="M70" s="32" t="str">
        <x:v>partner differs: existing 4cb72e5f-7375-4278-bd38-b29a7e4a197c vs Ержан Тумабеков
partner differs: existing 4cb72e5f-7375-4278-bd38-b29a7e4a197c vs Мухашев Куаныш Кудашулы</x:v>
      </x:c>
      <x:c r="N70" s="32" t="str"/>
      <x:c r="O70" s="32" t="str">
        <x:v>Ержан Тумабеков [partner]
Сейфуллина Гульмира Саятхановна [project_leader]
Мухашев Куаныш Кудашулы [partner]
Арнабекова Гулшат [manager_1]
Чалова Гульжан [manager_1]
Ермек Лебеков [assistant_1]</x:v>
      </x:c>
      <x:c r="P70" s="33" t="b">
        <x:v>0</x:v>
      </x:c>
      <x:c r="Q70" s="32" t="str">
        <x:v>needs_project_match</x:v>
      </x:c>
      <x:c r="R70" s="32" t="str">
        <x:v>choose_existing_project</x:v>
      </x:c>
      <x:c r="S70" s="32" t="str"/>
      <x:c r="T70" s="32" t="str"/>
      <x:c r="U70" s="32" t="str"/>
    </x:row>
    <x:row r="71" ht="42" customHeight="1">
      <x:c r="A71" s="32" t="str">
        <x:v>сейфулина проекты октябрь 2024 октябрь 2025.xlsx::parker kazakhstan::6</x:v>
      </x:c>
      <x:c r="B71" s="32" t="str">
        <x:v>Сейфулина_Проекты октябрь 2024-октябрь 2025.xlsx</x:v>
      </x:c>
      <x:c r="C71" s="32" t="str">
        <x:v>Parker Kazakhstan</x:v>
      </x:c>
      <x:c r="D71" s="32" t="n">
        <x:v>6</x:v>
      </x:c>
      <x:c r="E71" s="32" t="str">
        <x:v>ТОО "Кыран"</x:v>
      </x:c>
      <x:c r="F71" s="32" t="str">
        <x:v>Аудит ФО за 2024 г.</x:v>
      </x:c>
      <x:c r="G71" s="32" t="str"/>
      <x:c r="H71" s="32" t="str">
        <x:v>probable</x:v>
      </x:c>
      <x:c r="I71" s="32" t="str">
        <x:v>ТОО «Kyran logistics (Қыран логистикс)»</x:v>
      </x:c>
      <x:c r="J71" s="32" t="n">
        <x:v>85</x:v>
      </x:c>
      <x:c r="K71" s="32" t="str">
        <x:v>not_found</x:v>
      </x:c>
      <x:c r="L71" s="32" t="str">
        <x:v>1. ТОО «Kyran logistics (Қыран логистикс)» [50] (09aefea7-d757-4ecd-b761-39062d66c721)</x:v>
      </x:c>
      <x:c r="M71" s="32" t="str">
        <x:v>partner differs: existing abcc8390-7263-4e9a-aefd-fd177a8509bd vs Рахматулла Арман</x:v>
      </x:c>
      <x:c r="N71" s="32" t="str"/>
      <x:c r="O71" s="32" t="str">
        <x:v>Рахматулла Арман [partner]
Сейфуллина Гульмира Саятхановна [project_leader]
Ерлан Худайберген [tax_specialist_1]
Арнабекова Гулшат [manager_1]
Чалова Гульжан [manager_1]</x:v>
      </x:c>
      <x:c r="P71" s="33" t="b">
        <x:v>0</x:v>
      </x:c>
      <x:c r="Q71" s="32" t="str">
        <x:v>team_conflict</x:v>
      </x:c>
      <x:c r="R71" s="32" t="str">
        <x:v>merge_team_manually</x:v>
      </x:c>
      <x:c r="S71" s="32" t="str"/>
      <x:c r="T71" s="32" t="str"/>
      <x:c r="U71" s="32" t="str"/>
    </x:row>
    <x:row r="72" ht="42" customHeight="1">
      <x:c r="A72" s="32" t="str">
        <x:v>сейфулина проекты октябрь 2024 октябрь 2025.xlsx::мак rb partners::5</x:v>
      </x:c>
      <x:c r="B72" s="32" t="str">
        <x:v>Сейфулина_Проекты октябрь 2024-октябрь 2025.xlsx</x:v>
      </x:c>
      <x:c r="C72" s="32" t="str">
        <x:v>МАК RB Partners</x:v>
      </x:c>
      <x:c r="D72" s="32" t="n">
        <x:v>5</x:v>
      </x:c>
      <x:c r="E72" s="32" t="str">
        <x:v>ТОО "APL Construction"</x:v>
      </x:c>
      <x:c r="F72" s="32" t="str">
        <x:v>Аудит ФО за 2024 г.</x:v>
      </x:c>
      <x:c r="G72" s="32" t="str"/>
      <x:c r="H72" s="32" t="str">
        <x:v>exact</x:v>
      </x:c>
      <x:c r="I72" s="32" t="str">
        <x:v>ТОО «APL Construction» </x:v>
      </x:c>
      <x:c r="J72" s="32" t="n">
        <x:v>290</x:v>
      </x:c>
      <x:c r="K72" s="32" t="str">
        <x:v>exact</x:v>
      </x:c>
      <x:c r="L72" s="32" t="str">
        <x:v>1. ТОО «APL Construction»  [255] (950afea1-1d2c-44b4-8abe-dbf9e706f22f)
2. ТОО «Oil Construction Company» (за период 2022-2024) [60] (ca8526ed-4e82-4566-bf08-ced1855f8166)
3. ТОО «Oil Construction Company» (за период 2022-2024) [60] (942e5751-7666-4d58-a696-17f2c63f4b1d)
4. ТОО «Oil Construction Company» (за период 2025-2027) [60] (0629f630-5092-4e09-8b63-84ea343c288f)
5. ТОО «Oil Construction Company» (за период 2025-2027) [60] (9c7b15cc-50c0-469a-8d68-63d21ba942bd)</x:v>
      </x:c>
      <x:c r="M72" s="32" t="str">
        <x:v>partner differs: existing ba3d0a39-e789-4eed-8890-64dca41dbdd9 vs Арнабеков Ерлан</x:v>
      </x:c>
      <x:c r="N72" s="32" t="str">
        <x:v>Ажарбаев Самат [assistant_1]
Сауле Бадамбаева [partner]
Арнабекова Гулшат [manager_1]
Галымжанов Нурхан Нурланович [manager_3]
Калижан Адилет [assistant_1]
Куандыкова Жанар Ерлановна [tax_specialist_2]
Нурулла Нугман [assistant_1]
Пономарёв Юрий Максимович [assistant_1]</x:v>
      </x:c>
      <x:c r="O72" s="32" t="str">
        <x:v>Арнабеков Ерлан [partner]
Сейфуллина Гульмира Саятхановна [project_leader]
Арнабекова Гулшат [manager_1]
Чалова Гульжан [manager_1]
Куандыкова Жанар Ерлановна [tax_specialist_2]</x:v>
      </x:c>
      <x:c r="P72" s="33" t="b">
        <x:v>1</x:v>
      </x:c>
      <x:c r="Q72" s="32" t="str">
        <x:v>team_conflict</x:v>
      </x:c>
      <x:c r="R72" s="32" t="str">
        <x:v>merge_team_manually</x:v>
      </x:c>
      <x:c r="S72" s="32" t="str"/>
      <x:c r="T72" s="32" t="str"/>
      <x:c r="U72" s="32" t="str"/>
    </x:row>
    <x:row r="73" ht="42" customHeight="1">
      <x:c r="A73" s="32" t="str">
        <x:v>сейфулина проекты октябрь 2024 октябрь 2025.xlsx::мак rb partners::6</x:v>
      </x:c>
      <x:c r="B73" s="32" t="str">
        <x:v>Сейфулина_Проекты октябрь 2024-октябрь 2025.xlsx</x:v>
      </x:c>
      <x:c r="C73" s="32" t="str">
        <x:v>МАК RB Partners</x:v>
      </x:c>
      <x:c r="D73" s="32" t="n">
        <x:v>6</x:v>
      </x:c>
      <x:c r="E73" s="32" t="str">
        <x:v>ТОО "IC Petroleum"</x:v>
      </x:c>
      <x:c r="F73" s="32" t="str">
        <x:v>Аудит КФО и ОФО за 2024 г.</x:v>
      </x:c>
      <x:c r="G73" s="32" t="str"/>
      <x:c r="H73" s="32" t="str">
        <x:v>exact</x:v>
      </x:c>
      <x:c r="I73" s="32" t="str">
        <x:v>ТОО «IC Petroleum»</x:v>
      </x:c>
      <x:c r="J73" s="32" t="n">
        <x:v>290</x:v>
      </x:c>
      <x:c r="K73" s="32" t="str">
        <x:v>conflict</x:v>
      </x:c>
      <x:c r="L73" s="32" t="str">
        <x:v>1. ТОО «IC Petroleum» [255] (547952f2-2cd6-4295-ba50-57ab7bd6dd90)
2. ТОО «IC Petroleum» [255] (6dee8a60-e159-466f-8d66-851df9d3bd11)
3. ТОО «IC Petroleum» (за период 2024-2026) [170] (3dac1a32-a0c9-4a40-853b-de6798112d4a)
4. ТОО «IC Petroleum» (за период 2024-2026) [170] (1663f55b-eb10-46c9-9803-d977c3c8e42f)
5. ТОО «IC Petroleum» (за период 2024-2026) [170] (24a32f15-50a8-41c1-ab6b-156413222b90)</x:v>
      </x:c>
      <x:c r="M73" s="32" t="str">
        <x:v>partner differs: existing abcc8390-7263-4e9a-aefd-fd177a8509bd vs Арнабеков Ерлан</x:v>
      </x:c>
      <x:c r="N73" s="32" t="str">
        <x:v>Арнабекова Гулшат [manager_1]
Куптлеуова Альбина [assistant_1]
Сейфуллина Гульмира Саятхановна [partner]
Ерлан Худайберген [tax_specialist_1]</x:v>
      </x:c>
      <x:c r="O73" s="32" t="str">
        <x:v>Арнабеков Ерлан [partner]
Сейфуллина Гульмира Саятхановна [project_leader]
Арнабекова Гулшат [manager_1]
Ерлан Худайберген [tax_specialist_1]</x:v>
      </x:c>
      <x:c r="P73" s="33" t="b">
        <x:v>0</x:v>
      </x:c>
      <x:c r="Q73" s="32" t="str">
        <x:v>team_conflict</x:v>
      </x:c>
      <x:c r="R73" s="32" t="str">
        <x:v>merge_team_manually</x:v>
      </x:c>
      <x:c r="S73" s="32" t="str"/>
      <x:c r="T73" s="32" t="str"/>
      <x:c r="U73" s="32" t="str"/>
    </x:row>
    <x:row r="74" ht="42" customHeight="1">
      <x:c r="A74" s="32" t="str">
        <x:v>сейфулина проекты октябрь 2024 октябрь 2025.xlsx::мак rb partners::8</x:v>
      </x:c>
      <x:c r="B74" s="32" t="str">
        <x:v>Сейфулина_Проекты октябрь 2024-октябрь 2025.xlsx</x:v>
      </x:c>
      <x:c r="C74" s="32" t="str">
        <x:v>МАК RB Partners</x:v>
      </x:c>
      <x:c r="D74" s="32" t="n">
        <x:v>8</x:v>
      </x:c>
      <x:c r="E74" s="32" t="str">
        <x:v>АО "Казахстанская авиационная индустрия"</x:v>
      </x:c>
      <x:c r="F74" s="32" t="str">
        <x:v>Аудит ФО за 2024 г.</x:v>
      </x:c>
      <x:c r="G74" s="32" t="str"/>
      <x:c r="H74" s="32" t="str">
        <x:v>probable</x:v>
      </x:c>
      <x:c r="I74" s="32" t="str">
        <x:v>ТОО КАЗАХСТАНСКАЯ АВИАЦИОННАЯ ИНДУСТРИЯ</x:v>
      </x:c>
      <x:c r="J74" s="32" t="n">
        <x:v>85</x:v>
      </x:c>
      <x:c r="K74" s="32" t="str">
        <x:v>not_found</x:v>
      </x:c>
      <x:c r="L74" s="32" t="str">
        <x:v>1. ТОО КАЗАХСТАНСКАЯ АВИАЦИОННАЯ ИНДУСТРИЯ [50] (23e59475-0afb-4947-8517-6a67980942ce)</x:v>
      </x:c>
      <x:c r="M74" s="32" t="str">
        <x:v>partner differs: existing abcc8390-7263-4e9a-aefd-fd177a8509bd vs Арнабеков Ерлан</x:v>
      </x:c>
      <x:c r="N74" s="32" t="str"/>
      <x:c r="O74" s="32" t="str">
        <x:v>Арнабеков Ерлан [partner]
Сейфуллина Гульмира Саятхановна [project_leader]
Арнабекова Гулшат [manager_1]
Ерлан Худайберген [tax_specialist_1]</x:v>
      </x:c>
      <x:c r="P74" s="33" t="b">
        <x:v>0</x:v>
      </x:c>
      <x:c r="Q74" s="32" t="str">
        <x:v>team_conflict</x:v>
      </x:c>
      <x:c r="R74" s="32" t="str">
        <x:v>merge_team_manually</x:v>
      </x:c>
      <x:c r="S74" s="32" t="str"/>
      <x:c r="T74" s="32" t="str"/>
      <x:c r="U74" s="32" t="str"/>
    </x:row>
    <x:row r="75" ht="42" customHeight="1">
      <x:c r="A75" s="32" t="str">
        <x:v>сейфулина проекты октябрь 2024 октябрь 2025.xlsx::мак rb partners::12</x:v>
      </x:c>
      <x:c r="B75" s="32" t="str">
        <x:v>Сейфулина_Проекты октябрь 2024-октябрь 2025.xlsx</x:v>
      </x:c>
      <x:c r="C75" s="32" t="str">
        <x:v>МАК RB Partners</x:v>
      </x:c>
      <x:c r="D75" s="32" t="n">
        <x:v>12</x:v>
      </x:c>
      <x:c r="E75" s="32" t="str">
        <x:v>ТОО "Консолидированная строительная горнорудная компания"</x:v>
      </x:c>
      <x:c r="F75" s="32" t="str">
        <x:v>Аудит ФО за 2024 г. (ФО)</x:v>
      </x:c>
      <x:c r="G75" s="32" t="str"/>
      <x:c r="H75" s="32" t="str">
        <x:v>exact</x:v>
      </x:c>
      <x:c r="I75" s="32" t="str">
        <x:v>ТОО «Консолидированная Строительная Горнорудная Компания»</x:v>
      </x:c>
      <x:c r="J75" s="32" t="n">
        <x:v>290</x:v>
      </x:c>
      <x:c r="K75" s="32" t="str">
        <x:v>exact</x:v>
      </x:c>
      <x:c r="L75" s="32" t="str">
        <x:v>1. ТОО «Консолидированная Строительная Горнорудная Компания» [255] (26d3b3fb-b7c3-4ca5-8360-a342f4ef5682)
2. ТОО «Консолидированная Строительная Горнорудная Компания» - услуг по проведению аудита финансовой отчетности ТОО «Консолидированная Строительная Горнорудная Компания» за 2025 год, подготовленной в соответствии с Международными Стандартами Финансовой Отчетности (МСФО)  [194] (cfd3b502-9253-4dba-96ba-b43f5f399aa7)
3. АО «Национальная горнорудная компания «Тау-Кен Самрук» (аудит за 2025-2029гг) [19] (bba4e3dd-d508-418f-9c48-23ce65dbc4f9)
4. АО «Национальная горнорудная компания «Тау-Кен Самрук» (аудит за 2025-2029гг) [19] (2eb886af-107b-45b1-be4d-7fad12337505)
5. АО «Национальная горнорудная компания «Тау-Кен Самрук» (аудит за 2025-2029гг) [19] (44ca9c70-7135-43bc-bb8e-17a1f714cd77)</x:v>
      </x:c>
      <x:c r="M75" s="32" t="str">
        <x:v>partner differs: existing 4cb72e5f-7375-4278-bd38-b29a7e4a197c vs Арнабеков Ерлан
project leader differs: existing 967d77e8-774f-4a9a-a5db-37c33e6dc729 vs Сейфуллина Гульмира Саятхановна</x:v>
      </x:c>
      <x:c r="N75" s="32" t="str">
        <x:v>Арнабекова Гулшат [manager_1]
Искаков Аскар [assistant_1]
Ерлан Худайберген [tax_specialist_1]
Жамбыл Ернур [assistant_1]
Zabira Yerlankyzy [supervisor_1]
Кенжекулов Адилжан Абдикалыкович [partner]
Галымжанов Нурхан Нурланович [project_leader]</x:v>
      </x:c>
      <x:c r="O75" s="32" t="str">
        <x:v>Арнабеков Ерлан [partner]
Сейфуллина Гульмира Саятхановна [project_leader]
Арнабекова Гулшат [manager_1]
Чалова Гульжан [manager_1]
Ерлан Худайберген [tax_specialist_1]</x:v>
      </x:c>
      <x:c r="P75" s="33" t="b">
        <x:v>0</x:v>
      </x:c>
      <x:c r="Q75" s="32" t="str">
        <x:v>team_conflict</x:v>
      </x:c>
      <x:c r="R75" s="32" t="str">
        <x:v>merge_team_manually</x:v>
      </x:c>
      <x:c r="S75" s="32" t="str"/>
      <x:c r="T75" s="32" t="str"/>
      <x:c r="U75" s="32" t="str"/>
    </x:row>
    <x:row r="76" ht="42" customHeight="1">
      <x:c r="A76" s="32" t="str">
        <x:v>сейфулина проекты октябрь 2024 октябрь 2025.xlsx::чк сартаев шынгыс::5</x:v>
      </x:c>
      <x:c r="B76" s="32" t="str">
        <x:v>Сейфулина_Проекты октябрь 2024-октябрь 2025.xlsx</x:v>
      </x:c>
      <x:c r="C76" s="32" t="str">
        <x:v>ЧК Сартаев Шынгыс</x:v>
      </x:c>
      <x:c r="D76" s="32" t="n">
        <x:v>5</x:v>
      </x:c>
      <x:c r="E76" s="32" t="str">
        <x:v>ЧК "ДТМ" (Bizon)</x:v>
      </x:c>
      <x:c r="F76" s="32" t="str">
        <x:v>Аудит ФО за 2024 г.</x:v>
      </x:c>
      <x:c r="G76" s="32" t="str"/>
      <x:c r="H76" s="32" t="str">
        <x:v>probable</x:v>
      </x:c>
      <x:c r="I76" s="32" t="str">
        <x:v>Частная Компания ДТМ Казахстан Лтд (старое название ЧК «BiZone Kazakhstan Ltd.»)</x:v>
      </x:c>
      <x:c r="J76" s="32" t="n">
        <x:v>85</x:v>
      </x:c>
      <x:c r="K76" s="32" t="str">
        <x:v>not_found</x:v>
      </x:c>
      <x:c r="L76" s="32" t="str">
        <x:v>1. Частная Компания ДТМ Казахстан Лтд (старое название ЧК «BiZone Kazakhstan Ltd.») [50] (5293b73b-6d70-42d6-a6c0-6417b820ddbd)
2. Частная Компания ДТМ Казахстан Лтд (старое название ЧК «BiZone Kazakhstan Ltd.») [50] (30abc8a9-6a9f-4231-a1b7-48f6b0fe1dbc)
3. Частная Компания ДТМ Казахстан Лтд (старое название ЧК «BiZone Kazakhstan Ltd.») [50] (e4e60598-aebf-4523-a45f-776310ed8577)
4. Частная Компания ДТМ Казахстан Лтд (старое название ЧК «BiZone Kazakhstan Ltd.») [50] (888bb28c-2641-4bcb-bd28-d624016d08e0)
5. Частная Компания ДТМ Казахстан Лтд (старое название ЧК «BiZone Kazakhstan Ltd.») [50] (ae3878c4-aeeb-479d-b112-fb2aa3169673)</x:v>
      </x:c>
      <x:c r="M76" s="32" t="str">
        <x:v>partner differs: existing abcc8390-7263-4e9a-aefd-fd177a8509bd vs Шынгыс Сартаев</x:v>
      </x:c>
      <x:c r="N76" s="32" t="str"/>
      <x:c r="O76" s="32" t="str">
        <x:v>Шынгыс Сартаев [partner]
Сейфуллина Гульмира Саятхановна [project_leader]
Арнабекова Гулшат [manager_1]
Ерлан Худайберген [tax_specialist_1]
Жамбыл Ернур [assistant_1]</x:v>
      </x:c>
      <x:c r="P76" s="33" t="b">
        <x:v>0</x:v>
      </x:c>
      <x:c r="Q76" s="32" t="str">
        <x:v>team_conflict</x:v>
      </x:c>
      <x:c r="R76" s="32" t="str">
        <x:v>merge_team_manually</x:v>
      </x:c>
      <x:c r="S76" s="32" t="str"/>
      <x:c r="T76" s="32" t="str"/>
      <x:c r="U76" s="32" t="str"/>
    </x:row>
  </x:sheetData>
  <x:mergeCells>
    <x:mergeCell ref="A1:U1"/>
    <x:mergeCell ref="A2:U2"/>
  </x:mergeCells>
  <x:conditionalFormatting sqref="Q5:Q76">
    <x:cfRule type="containsText" dxfId="5" priority="1" operator="containsText" text="confirmed"/>
    <x:cfRule type="containsText" dxfId="6" priority="2" operator="containsText" text="conflict"/>
    <x:cfRule type="containsText" dxfId="7" priority="3" operator="containsText" text="needs"/>
    <x:cfRule type="containsText" dxfId="8" priority="4" operator="containsText" text="mismatch"/>
  </x:conditionalFormatting>
  <x:conditionalFormatting sqref="S5:S76">
    <x:cfRule type="containsBlanks" dxfId="9" priority="5"/>
  </x:conditionalFormatting>
  <x:dataValidations count="1">
    <x:dataValidation type="list" sqref="S5:S76">
      <x:formula1>"use_existing_project,create_new_project,keep_live_team,apply_excel_team,merge_team_manually,keep_external,skip"</x:formula1>
    </x:dataValidation>
  </x:dataValidations>
  <x:pageMargins left="0.7" right="0.7" top="0.75" bottom="0.75" header="0.3" footer="0.3"/>
  <x:tableParts count="1">
    <x:tablePart xmlns:r="http://schemas.openxmlformats.org/officeDocument/2006/relationships" r:id="Reb4070dadd4b4bc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20" hidden="0" customWidth="1"/>
    <x:col min="4" max="4" width="8" hidden="0" customWidth="1"/>
    <x:col min="5" max="5" width="28" hidden="0" customWidth="1"/>
    <x:col min="6" max="6" width="20" hidden="0" customWidth="1"/>
    <x:col min="7" max="7" width="22" hidden="0" customWidth="1"/>
    <x:col min="8" max="8" width="13" hidden="0" customWidth="1"/>
    <x:col min="9" max="9" width="32" hidden="0" customWidth="1"/>
    <x:col min="10" max="10" width="10" hidden="0" customWidth="1"/>
    <x:col min="11" max="11" width="13" hidden="0" customWidth="1"/>
    <x:col min="12" max="12" width="50" hidden="0" customWidth="1"/>
    <x:col min="13" max="13" width="40" hidden="0" customWidth="1"/>
    <x:col min="14" max="14" width="38" hidden="0" customWidth="1"/>
    <x:col min="15" max="15" width="38" hidden="0" customWidth="1"/>
    <x:col min="16" max="16" width="12" hidden="0" customWidth="1"/>
    <x:col min="17" max="17" width="22" hidden="0" customWidth="1"/>
    <x:col min="18" max="18" width="26" hidden="0" customWidth="1"/>
    <x:col min="19" max="19" width="24" hidden="0" customWidth="1"/>
    <x:col min="20" max="20" width="32" hidden="0" customWidth="1"/>
    <x:col min="21" max="21" width="36" hidden="0" customWidth="1"/>
  </x:cols>
  <x:sheetData>
    <x:row r="1" ht="30" customHeight="1">
      <x:c r="A1" s="3" t="str">
        <x:v>RBI — проекты не найдены</x:v>
      </x:c>
      <x:c r="B1" s="3"/>
      <x:c r="C1" s="3"/>
      <x:c r="D1" s="3"/>
      <x:c r="E1" s="3"/>
      <x:c r="F1" s="3"/>
      <x:c r="G1" s="3"/>
      <x:c r="H1" s="3"/>
      <x:c r="I1" s="3"/>
      <x:c r="J1" s="3"/>
      <x:c r="K1" s="3"/>
      <x:c r="L1" s="3"/>
      <x:c r="M1" s="3"/>
      <x:c r="N1" s="3"/>
      <x:c r="O1" s="3"/>
      <x:c r="P1" s="3"/>
      <x:c r="Q1" s="3"/>
      <x:c r="R1" s="3"/>
      <x:c r="S1" s="3"/>
      <x:c r="T1" s="3"/>
      <x:c r="U1" s="3"/>
    </x:row>
    <x:row r="2" ht="30" customHeight="1">
      <x:c r="A2" s="7" t="str">
        <x:v>123 строк. Создание проекта возможно только после явного решения create_new_project.</x:v>
      </x:c>
      <x:c r="B2" s="7"/>
      <x:c r="C2" s="7"/>
      <x:c r="D2" s="7"/>
      <x:c r="E2" s="7"/>
      <x:c r="F2" s="7"/>
      <x:c r="G2" s="7"/>
      <x:c r="H2" s="7"/>
      <x:c r="I2" s="7"/>
      <x:c r="J2" s="7"/>
      <x:c r="K2" s="7"/>
      <x:c r="L2" s="7"/>
      <x:c r="M2" s="7"/>
      <x:c r="N2" s="7"/>
      <x:c r="O2" s="7"/>
      <x:c r="P2" s="7"/>
      <x:c r="Q2" s="7"/>
      <x:c r="R2" s="7"/>
      <x:c r="S2" s="7"/>
      <x:c r="T2" s="7"/>
      <x:c r="U2" s="7"/>
    </x:row>
    <x:row r="4" ht="34" customHeight="1">
      <x:c r="A4" s="17" t="str">
        <x:v>Source Key</x:v>
      </x:c>
      <x:c r="B4" s="18" t="str">
        <x:v>File</x:v>
      </x:c>
      <x:c r="C4" s="18" t="str">
        <x:v>Sheet</x:v>
      </x:c>
      <x:c r="D4" s="18" t="str">
        <x:v>Row</x:v>
      </x:c>
      <x:c r="E4" s="18" t="str">
        <x:v>Client</x:v>
      </x:c>
      <x:c r="F4" s="18" t="str">
        <x:v>Audit Type</x:v>
      </x:c>
      <x:c r="G4" s="18" t="str">
        <x:v>Company</x:v>
      </x:c>
      <x:c r="H4" s="18" t="str">
        <x:v>Old Match</x:v>
      </x:c>
      <x:c r="I4" s="18" t="str">
        <x:v>Old Best Project</x:v>
      </x:c>
      <x:c r="J4" s="18" t="str">
        <x:v>Old Score</x:v>
      </x:c>
      <x:c r="K4" s="18" t="str">
        <x:v>Current Match</x:v>
      </x:c>
      <x:c r="L4" s="18" t="str">
        <x:v>Current Candidates</x:v>
      </x:c>
      <x:c r="M4" s="18" t="str">
        <x:v>Conflicts</x:v>
      </x:c>
      <x:c r="N4" s="18" t="str">
        <x:v>Live Team</x:v>
      </x:c>
      <x:c r="O4" s="18" t="str">
        <x:v>Excel Team</x:v>
      </x:c>
      <x:c r="P4" s="18" t="str">
        <x:v>Live RBI Marker</x:v>
      </x:c>
      <x:c r="Q4" s="18" t="str">
        <x:v>Status</x:v>
      </x:c>
      <x:c r="R4" s="18" t="str">
        <x:v>Recommendation</x:v>
      </x:c>
      <x:c r="S4" s="18" t="str">
        <x:v>Decision</x:v>
      </x:c>
      <x:c r="T4" s="18" t="str">
        <x:v>Approved Project ID</x:v>
      </x:c>
      <x:c r="U4" s="19" t="str">
        <x:v>Review Comment</x:v>
      </x:c>
    </x:row>
    <x:row r="5" ht="42" customHeight="1">
      <x:c r="A5" s="30" t="str">
        <x:v>1 кв проекты 2024 rbi.xlsx::проекты 1 кв 2024::7</x:v>
      </x:c>
      <x:c r="B5" s="30" t="str">
        <x:v>1 кв Проекты 2024_RBI.xlsx</x:v>
      </x:c>
      <x:c r="C5" s="30" t="str">
        <x:v>Проекты 1 кв 2024</x:v>
      </x:c>
      <x:c r="D5" s="30" t="n">
        <x:v>7</x:v>
      </x:c>
      <x:c r="E5" s="30" t="str">
        <x:v>ТОО Bogatyr Komir</x:v>
      </x:c>
      <x:c r="F5" s="30" t="str"/>
      <x:c r="G5" s="30" t="str">
        <x:v>IAC Russell Bedford A+ Partners LLP</x:v>
      </x:c>
      <x:c r="H5" s="30" t="str">
        <x:v>not_found</x:v>
      </x:c>
      <x:c r="I5" s="30" t="str"/>
      <x:c r="J5" s="30" t="n">
        <x:v>0</x:v>
      </x:c>
      <x:c r="K5" s="30" t="str">
        <x:v>not_found</x:v>
      </x:c>
      <x:c r="L5" s="30" t="str"/>
      <x:c r="M5" s="30" t="str"/>
      <x:c r="N5" s="30" t="str"/>
      <x:c r="O5" s="30" t="str">
        <x:v>Кенжекулов Адилжан Абдикалыкович [partner]
Мадиева Раушан [assistant_1]
Смагулова Ляззат [assistant_1]
Мусаева Ботагоз [assistant_1]
Тукеева Назира [assistant_1]
Абдыкадыр Салтанат [assistant_1]</x:v>
      </x:c>
      <x:c r="P5" s="31" t="b">
        <x:v>0</x:v>
      </x:c>
      <x:c r="Q5" s="30" t="str">
        <x:v>create_candidate</x:v>
      </x:c>
      <x:c r="R5" s="30" t="str">
        <x:v>review_create_or_skip</x:v>
      </x:c>
      <x:c r="S5" s="30" t="str"/>
      <x:c r="T5" s="30" t="str"/>
      <x:c r="U5" s="30" t="str"/>
    </x:row>
    <x:row r="6" ht="42" customHeight="1">
      <x:c r="A6" s="32" t="str">
        <x:v>1 кв проекты 2024 rbi.xlsx::проекты 1 кв 2024::12</x:v>
      </x:c>
      <x:c r="B6" s="32" t="str">
        <x:v>1 кв Проекты 2024_RBI.xlsx</x:v>
      </x:c>
      <x:c r="C6" s="32" t="str">
        <x:v>Проекты 1 кв 2024</x:v>
      </x:c>
      <x:c r="D6" s="32" t="n">
        <x:v>12</x:v>
      </x:c>
      <x:c r="E6" s="32" t="str">
        <x:v>Акбидай Терминал</x:v>
      </x:c>
      <x:c r="F6" s="32" t="str">
        <x:v>Аудит ФО</x:v>
      </x:c>
      <x:c r="G6" s="32" t="str">
        <x:v>IAC Russell Bedford A+ Partners LLP</x:v>
      </x:c>
      <x:c r="H6" s="32" t="str">
        <x:v>not_found</x:v>
      </x:c>
      <x:c r="I6" s="32" t="str"/>
      <x:c r="J6" s="32" t="n">
        <x:v>0</x:v>
      </x:c>
      <x:c r="K6" s="32" t="str">
        <x:v>not_found</x:v>
      </x:c>
      <x:c r="L6" s="32" t="str">
        <x:v>1. АО "АК БИДАЙ- ТЕРМИНАЛ" [25] (5a916963-ea1a-41ea-85b2-5fb775d52a64)
2. АО АК БИДАЙ-ТЕРМИНАЛ - Аудит финансовой отчетности за 2025 года [4] (65f6c460-8ee0-42b8-8efa-da4f32e872be)</x:v>
      </x:c>
      <x:c r="M6" s="32" t="str"/>
      <x:c r="N6" s="32" t="str"/>
      <x:c r="O6" s="32" t="str">
        <x:v>Шынгыс Сартаев [partner]
Мадиева Раушан [assistant_1]
Тукеева Назира [assistant_1]</x:v>
      </x:c>
      <x:c r="P6" s="33" t="b">
        <x:v>0</x:v>
      </x:c>
      <x:c r="Q6" s="32" t="str">
        <x:v>create_candidate</x:v>
      </x:c>
      <x:c r="R6" s="32" t="str">
        <x:v>review_create_or_skip</x:v>
      </x:c>
      <x:c r="S6" s="32" t="str"/>
      <x:c r="T6" s="32" t="str"/>
      <x:c r="U6" s="32" t="str"/>
    </x:row>
    <x:row r="7" ht="42" customHeight="1">
      <x:c r="A7" s="32" t="str">
        <x:v>1 кв проекты 2024 rbi.xlsx::проекты 1 кв 2024::14</x:v>
      </x:c>
      <x:c r="B7" s="32" t="str">
        <x:v>1 кв Проекты 2024_RBI.xlsx</x:v>
      </x:c>
      <x:c r="C7" s="32" t="str">
        <x:v>Проекты 1 кв 2024</x:v>
      </x:c>
      <x:c r="D7" s="32" t="n">
        <x:v>14</x:v>
      </x:c>
      <x:c r="E7" s="32" t="str">
        <x:v>ТОО Мой страховой брокер</x:v>
      </x:c>
      <x:c r="F7" s="32" t="str">
        <x:v>Аудит ФО</x:v>
      </x:c>
      <x:c r="G7" s="32" t="str">
        <x:v>IAC Russell Bedford A+ Partners LLP</x:v>
      </x:c>
      <x:c r="H7" s="32" t="str">
        <x:v>not_found</x:v>
      </x:c>
      <x:c r="I7" s="32" t="str"/>
      <x:c r="J7" s="32" t="n">
        <x:v>0</x:v>
      </x:c>
      <x:c r="K7" s="32" t="str">
        <x:v>not_found</x:v>
      </x:c>
      <x:c r="L7" s="32" t="str">
        <x:v>1. ТОО MOI (МОЙ) страховой брокер от Тримовой Сауле [50] (70306fd4-3a56-423a-ab86-5ba7b88737c0)
2. ТОО «Коммерческий банк «Страховой брокер Уиллис Тауэрс Уатсон (Казахстан)» [33] (9188bb02-121c-4e9a-8feb-7eb5da4fa931)
3. ТОО «Коммерческий банк «Страховой брокер Уиллис Тауэрс Уатсон (Казахстан)» [33] (78a385af-a75c-433f-8ae5-42badeec1122)
4. ТОО "MOI (МОЙ) страховой брокер" - услуг по проведению аудита отдельной и консолидированной финансовой отчетности ТОО "MOI  (МОЙ )страховой брокер" за период с 1 января 2025 года по 31 декабря 2025 года, подготовленной в соответствии с Международными Стандартами Финансовой Отчетности.  [29] (578bfc96-b4ca-4261-aac3-2e56ac66b884)</x:v>
      </x:c>
      <x:c r="M7" s="32" t="str"/>
      <x:c r="N7" s="32" t="str"/>
      <x:c r="O7" s="32" t="str">
        <x:v>Кенжекулов Адилжан Абдикалыкович [partner]
Сауле Тримова [assistant_1]</x:v>
      </x:c>
      <x:c r="P7" s="33" t="b">
        <x:v>0</x:v>
      </x:c>
      <x:c r="Q7" s="32" t="str">
        <x:v>create_candidate</x:v>
      </x:c>
      <x:c r="R7" s="32" t="str">
        <x:v>review_create_or_skip</x:v>
      </x:c>
      <x:c r="S7" s="32" t="str"/>
      <x:c r="T7" s="32" t="str"/>
      <x:c r="U7" s="32" t="str"/>
    </x:row>
    <x:row r="8" ht="42" customHeight="1">
      <x:c r="A8" s="32" t="str">
        <x:v>1 кв проекты 2024 rbi.xlsx::проекты 1 кв 2024::16</x:v>
      </x:c>
      <x:c r="B8" s="32" t="str">
        <x:v>1 кв Проекты 2024_RBI.xlsx</x:v>
      </x:c>
      <x:c r="C8" s="32" t="str">
        <x:v>Проекты 1 кв 2024</x:v>
      </x:c>
      <x:c r="D8" s="32" t="n">
        <x:v>16</x:v>
      </x:c>
      <x:c r="E8" s="32" t="str">
        <x:v>АО " N1broker"</x:v>
      </x:c>
      <x:c r="F8" s="32" t="str">
        <x:v>Аудит ФО</x:v>
      </x:c>
      <x:c r="G8" s="32" t="str">
        <x:v>IAC Russell Bedford A+ Partners LLP</x:v>
      </x:c>
      <x:c r="H8" s="32" t="str">
        <x:v>not_found</x:v>
      </x:c>
      <x:c r="I8" s="32" t="str"/>
      <x:c r="J8" s="32" t="n">
        <x:v>0</x:v>
      </x:c>
      <x:c r="K8" s="32" t="str">
        <x:v>not_found</x:v>
      </x:c>
      <x:c r="L8" s="32" t="str"/>
      <x:c r="M8" s="32" t="str"/>
      <x:c r="N8" s="32" t="str"/>
      <x:c r="O8" s="32" t="str">
        <x:v>Шынгыс Сартаев [partner]</x:v>
      </x:c>
      <x:c r="P8" s="33" t="b">
        <x:v>0</x:v>
      </x:c>
      <x:c r="Q8" s="32" t="str">
        <x:v>create_candidate</x:v>
      </x:c>
      <x:c r="R8" s="32" t="str">
        <x:v>review_create_or_skip</x:v>
      </x:c>
      <x:c r="S8" s="32" t="str"/>
      <x:c r="T8" s="32" t="str"/>
      <x:c r="U8" s="32" t="str"/>
    </x:row>
    <x:row r="9" ht="42" customHeight="1">
      <x:c r="A9" s="32" t="str">
        <x:v>1 кв проекты 2024 rbi.xlsx::проекты 1 кв 2024::17</x:v>
      </x:c>
      <x:c r="B9" s="32" t="str">
        <x:v>1 кв Проекты 2024_RBI.xlsx</x:v>
      </x:c>
      <x:c r="C9" s="32" t="str">
        <x:v>Проекты 1 кв 2024</x:v>
      </x:c>
      <x:c r="D9" s="32" t="n">
        <x:v>17</x:v>
      </x:c>
      <x:c r="E9" s="32" t="str">
        <x:v>ТОО КАЭС</x:v>
      </x:c>
      <x:c r="F9" s="32" t="str">
        <x:v>Аудит ФО</x:v>
      </x:c>
      <x:c r="G9" s="32" t="str">
        <x:v>IAC Russell Bedford A+ Partners LLP</x:v>
      </x:c>
      <x:c r="H9" s="32" t="str">
        <x:v>not_found</x:v>
      </x:c>
      <x:c r="I9" s="32" t="str"/>
      <x:c r="J9" s="32" t="n">
        <x:v>0</x:v>
      </x:c>
      <x:c r="K9" s="32" t="str">
        <x:v>not_found</x:v>
      </x:c>
      <x:c r="L9" s="32" t="str"/>
      <x:c r="M9" s="32" t="str"/>
      <x:c r="N9" s="32" t="str"/>
      <x:c r="O9" s="32" t="str">
        <x:v>Шынгыс Сартаев [partner]
Медекенов Марат Макунович [manager_1]</x:v>
      </x:c>
      <x:c r="P9" s="33" t="b">
        <x:v>0</x:v>
      </x:c>
      <x:c r="Q9" s="32" t="str">
        <x:v>create_candidate</x:v>
      </x:c>
      <x:c r="R9" s="32" t="str">
        <x:v>review_create_or_skip</x:v>
      </x:c>
      <x:c r="S9" s="32" t="str"/>
      <x:c r="T9" s="32" t="str"/>
      <x:c r="U9" s="32" t="str"/>
    </x:row>
    <x:row r="10" ht="42" customHeight="1">
      <x:c r="A10" s="32" t="str">
        <x:v>1 кв проекты 2024 rbi.xlsx::проекты 1 кв 2024::23</x:v>
      </x:c>
      <x:c r="B10" s="32" t="str">
        <x:v>1 кв Проекты 2024_RBI.xlsx</x:v>
      </x:c>
      <x:c r="C10" s="32" t="str">
        <x:v>Проекты 1 кв 2024</x:v>
      </x:c>
      <x:c r="D10" s="32" t="n">
        <x:v>23</x:v>
      </x:c>
      <x:c r="E10" s="32" t="str">
        <x:v>ТОО Олайнфарм Казахстан</x:v>
      </x:c>
      <x:c r="F10" s="32" t="str">
        <x:v>Аудит ФО</x:v>
      </x:c>
      <x:c r="G10" s="32" t="str">
        <x:v>IAC Russell Bedford A+ Partners LLP</x:v>
      </x:c>
      <x:c r="H10" s="32" t="str">
        <x:v>not_found</x:v>
      </x:c>
      <x:c r="I10" s="32" t="str"/>
      <x:c r="J10" s="32" t="n">
        <x:v>0</x:v>
      </x:c>
      <x:c r="K10" s="32" t="str">
        <x:v>conflict</x:v>
      </x:c>
      <x:c r="L10" s="32" t="str">
        <x:v>1. Акционерное общество "Национальная платежная корпорация Национального Банка Республики Казахстан" - АУДИТ за 2024 [72] (49694440-aee8-4cf4-af94-a8d4ef55a462)
2. АО "Республиканская телерадиокорпорация "Казахстан" (за 2024-2026гг) [60] (34cb9178-42ab-4479-96b1-59f9c1eff0a2)
3. АО "Республиканская телерадиокорпорация "Казахстан" (за 2024-2026гг) [60] (79fa8e30-5ba2-49ee-8916-cc490f855d28)
4. АО "Республиканская телерадиокорпорация "Казахстан" (за 2024-2026гг) [60] (dc446cf9-582d-422f-b872-1c69b4fc103c)
5. АО "Республиканская телерадиокорпорация "Казахстан" (за 2024-2026гг) [60] (62f8f591-75ad-4fdc-9a2b-5fe30ca91acc)</x:v>
      </x:c>
      <x:c r="M10" s="32" t="str"/>
      <x:c r="N10" s="32" t="str">
        <x:v>Сауле Бадамбаева [partner]
Нускабаева Райхан [project_leader]
Гульжан Чалова [manager_1]
Қасымбек Тинай Асқарқызы [assistant_1]
Кенжебек Мая Тельманкызы [manager_1]
Идрисов Спандияр [tax_specialist_1]</x:v>
      </x:c>
      <x:c r="O10" s="32" t="str">
        <x:v>Сауле Бадамбаева [partner]
Кенжебек Мая Тельманкызы [manager_1]</x:v>
      </x:c>
      <x:c r="P10" s="33" t="b">
        <x:v>1</x:v>
      </x:c>
      <x:c r="Q10" s="32" t="str">
        <x:v>create_candidate</x:v>
      </x:c>
      <x:c r="R10" s="32" t="str">
        <x:v>review_create_or_skip</x:v>
      </x:c>
      <x:c r="S10" s="32" t="str"/>
      <x:c r="T10" s="32" t="str"/>
      <x:c r="U10" s="32" t="str"/>
    </x:row>
    <x:row r="11" ht="42" customHeight="1">
      <x:c r="A11" s="32" t="str">
        <x:v>1 кв проекты 2024 rbi.xlsx::проекты 1 кв 2024::24</x:v>
      </x:c>
      <x:c r="B11" s="32" t="str">
        <x:v>1 кв Проекты 2024_RBI.xlsx</x:v>
      </x:c>
      <x:c r="C11" s="32" t="str">
        <x:v>Проекты 1 кв 2024</x:v>
      </x:c>
      <x:c r="D11" s="32" t="n">
        <x:v>24</x:v>
      </x:c>
      <x:c r="E11" s="32" t="str">
        <x:v>ТОО КазРосГаз</x:v>
      </x:c>
      <x:c r="F11" s="32" t="str">
        <x:v>Аудит ФО</x:v>
      </x:c>
      <x:c r="G11" s="32" t="str">
        <x:v>IAC Russell Bedford A+ Partners LLP</x:v>
      </x:c>
      <x:c r="H11" s="32" t="str">
        <x:v>not_found</x:v>
      </x:c>
      <x:c r="I11" s="32" t="str"/>
      <x:c r="J11" s="32" t="n">
        <x:v>0</x:v>
      </x:c>
      <x:c r="K11" s="32" t="str">
        <x:v>not_found</x:v>
      </x:c>
      <x:c r="L11" s="32" t="str"/>
      <x:c r="M11" s="32" t="str"/>
      <x:c r="N11" s="32" t="str"/>
      <x:c r="O11" s="32" t="str">
        <x:v>Сауле Бадамбаева [partner]
Хасенов Ардак [assistant_1]
Нускабаева Райхан [manager_1]</x:v>
      </x:c>
      <x:c r="P11" s="33" t="b">
        <x:v>0</x:v>
      </x:c>
      <x:c r="Q11" s="32" t="str">
        <x:v>create_candidate</x:v>
      </x:c>
      <x:c r="R11" s="32" t="str">
        <x:v>review_create_or_skip</x:v>
      </x:c>
      <x:c r="S11" s="32" t="str"/>
      <x:c r="T11" s="32" t="str"/>
      <x:c r="U11" s="32" t="str"/>
    </x:row>
    <x:row r="12" ht="42" customHeight="1">
      <x:c r="A12" s="32" t="str">
        <x:v>1 кв проекты 2024 rbi.xlsx::проекты 1 кв 2024::26</x:v>
      </x:c>
      <x:c r="B12" s="32" t="str">
        <x:v>1 кв Проекты 2024_RBI.xlsx</x:v>
      </x:c>
      <x:c r="C12" s="32" t="str">
        <x:v>Проекты 1 кв 2024</x:v>
      </x:c>
      <x:c r="D12" s="32" t="n">
        <x:v>26</x:v>
      </x:c>
      <x:c r="E12" s="32" t="str">
        <x:v>ТОО Kazkom Realty</x:v>
      </x:c>
      <x:c r="F12" s="32" t="str">
        <x:v>Аудит ФО</x:v>
      </x:c>
      <x:c r="G12" s="32" t="str"/>
      <x:c r="H12" s="32" t="str">
        <x:v>not_found</x:v>
      </x:c>
      <x:c r="I12" s="32" t="str"/>
      <x:c r="J12" s="32" t="n">
        <x:v>0</x:v>
      </x:c>
      <x:c r="K12" s="32" t="str">
        <x:v>not_found</x:v>
      </x:c>
      <x:c r="L12" s="32" t="str">
        <x:v>1. ТОО «Novella Realty» [25] (7187f5b5-8ff9-4b90-8d2c-81928cf75a28)
2. ТОО «Novella Realty» [25] (0ca1d3ac-4420-4eb2-aeb6-a32b818d8d32)</x:v>
      </x:c>
      <x:c r="M12" s="32" t="str"/>
      <x:c r="N12" s="32" t="str"/>
      <x:c r="O12" s="32" t="str">
        <x:v>Сауле Бадамбаева [partner]</x:v>
      </x:c>
      <x:c r="P12" s="33" t="b">
        <x:v>0</x:v>
      </x:c>
      <x:c r="Q12" s="32" t="str">
        <x:v>create_candidate</x:v>
      </x:c>
      <x:c r="R12" s="32" t="str">
        <x:v>review_create_or_skip</x:v>
      </x:c>
      <x:c r="S12" s="32" t="str"/>
      <x:c r="T12" s="32" t="str"/>
      <x:c r="U12" s="32" t="str"/>
    </x:row>
    <x:row r="13" ht="42" customHeight="1">
      <x:c r="A13" s="32" t="str">
        <x:v>1 кв проекты 2024 rbi.xlsx::проекты 1 кв 2024::27</x:v>
      </x:c>
      <x:c r="B13" s="32" t="str">
        <x:v>1 кв Проекты 2024_RBI.xlsx</x:v>
      </x:c>
      <x:c r="C13" s="32" t="str">
        <x:v>Проекты 1 кв 2024</x:v>
      </x:c>
      <x:c r="D13" s="32" t="n">
        <x:v>27</x:v>
      </x:c>
      <x:c r="E13" s="32" t="str">
        <x:v>ТОО Национальная гарантирующая компания КазТранзитСервис</x:v>
      </x:c>
      <x:c r="F13" s="32" t="str">
        <x:v>Аудит ФО</x:v>
      </x:c>
      <x:c r="G13" s="32" t="str"/>
      <x:c r="H13" s="32" t="str">
        <x:v>not_found</x:v>
      </x:c>
      <x:c r="I13" s="32" t="str"/>
      <x:c r="J13" s="32" t="n">
        <x:v>0</x:v>
      </x:c>
      <x:c r="K13" s="32" t="str">
        <x:v>not_found</x:v>
      </x:c>
      <x:c r="L13" s="32" t="str">
        <x:v>1. Акционерное общество "Национальная платежная корпорация Национального Банка Республики Казахстан" - АУДИТ за 2024 [19] (49694440-aee8-4cf4-af94-a8d4ef55a462)</x:v>
      </x:c>
      <x:c r="M13" s="32" t="str"/>
      <x:c r="N13" s="32" t="str"/>
      <x:c r="O13" s="32" t="str">
        <x:v>Сауле Бадамбаева [partner]</x:v>
      </x:c>
      <x:c r="P13" s="33" t="b">
        <x:v>0</x:v>
      </x:c>
      <x:c r="Q13" s="32" t="str">
        <x:v>create_candidate</x:v>
      </x:c>
      <x:c r="R13" s="32" t="str">
        <x:v>review_create_or_skip</x:v>
      </x:c>
      <x:c r="S13" s="32" t="str"/>
      <x:c r="T13" s="32" t="str"/>
      <x:c r="U13" s="32" t="str"/>
    </x:row>
    <x:row r="14" ht="42" customHeight="1">
      <x:c r="A14" s="32" t="str">
        <x:v>1 кв проекты 2024 rbi.xlsx::проекты 1 кв 2024::28</x:v>
      </x:c>
      <x:c r="B14" s="32" t="str">
        <x:v>1 кв Проекты 2024_RBI.xlsx</x:v>
      </x:c>
      <x:c r="C14" s="32" t="str">
        <x:v>Проекты 1 кв 2024</x:v>
      </x:c>
      <x:c r="D14" s="32" t="n">
        <x:v>28</x:v>
      </x:c>
      <x:c r="E14" s="32" t="str">
        <x:v>AO Altyn Adam Associates</x:v>
      </x:c>
      <x:c r="F14" s="32" t="str">
        <x:v>Аудит ФО</x:v>
      </x:c>
      <x:c r="G14" s="32" t="str">
        <x:v>IAC Russell Bedford A+ Partners LLP</x:v>
      </x:c>
      <x:c r="H14" s="32" t="str">
        <x:v>not_found</x:v>
      </x:c>
      <x:c r="I14" s="32" t="str"/>
      <x:c r="J14" s="32" t="n">
        <x:v>0</x:v>
      </x:c>
      <x:c r="K14" s="32" t="str">
        <x:v>not_found</x:v>
      </x:c>
      <x:c r="L14" s="32" t="str"/>
      <x:c r="M14" s="32" t="str"/>
      <x:c r="N14" s="32" t="str"/>
      <x:c r="O14" s="32" t="str">
        <x:v>Кенжекулов Адилжан Абдикалыкович [partner]
Шардарбекова Саия Гамзатовна [manager_2]</x:v>
      </x:c>
      <x:c r="P14" s="33" t="b">
        <x:v>0</x:v>
      </x:c>
      <x:c r="Q14" s="32" t="str">
        <x:v>create_candidate</x:v>
      </x:c>
      <x:c r="R14" s="32" t="str">
        <x:v>review_create_or_skip</x:v>
      </x:c>
      <x:c r="S14" s="32" t="str"/>
      <x:c r="T14" s="32" t="str"/>
      <x:c r="U14" s="32" t="str"/>
    </x:row>
    <x:row r="15" ht="42" customHeight="1">
      <x:c r="A15" s="32" t="str">
        <x:v>1 кв проекты 2024 rbi.xlsx::проекты 1 кв 2024::29</x:v>
      </x:c>
      <x:c r="B15" s="32" t="str">
        <x:v>1 кв Проекты 2024_RBI.xlsx</x:v>
      </x:c>
      <x:c r="C15" s="32" t="str">
        <x:v>Проекты 1 кв 2024</x:v>
      </x:c>
      <x:c r="D15" s="32" t="n">
        <x:v>29</x:v>
      </x:c>
      <x:c r="E15" s="32" t="str">
        <x:v>ТОО Bogatir Komir / Богатырь Комир</x:v>
      </x:c>
      <x:c r="F15" s="32" t="str">
        <x:v>Аудит ФО</x:v>
      </x:c>
      <x:c r="G15" s="32" t="str">
        <x:v>IAC Russell Bedford A+ Partners LLP</x:v>
      </x:c>
      <x:c r="H15" s="32" t="str">
        <x:v>not_found</x:v>
      </x:c>
      <x:c r="I15" s="32" t="str"/>
      <x:c r="J15" s="32" t="n">
        <x:v>0</x:v>
      </x:c>
      <x:c r="K15" s="32" t="str">
        <x:v>not_found</x:v>
      </x:c>
      <x:c r="L15" s="32" t="str">
        <x:v>1. ТОО Богатырь Комир (за период 2022-2024) [60] (d255a0da-ce08-463f-9992-fadb30b2f025)
2. ТОО Богатырь Комир [25] (2f5dfee7-0abd-4604-b144-e1e487f01283)</x:v>
      </x:c>
      <x:c r="M15" s="32" t="str"/>
      <x:c r="N15" s="32" t="str"/>
      <x:c r="O15" s="32" t="str">
        <x:v>Кенжекулов Адилжан Абдикалыкович [partner]
Мадиева Раушан [assistant_1]
Смагулова Ляззат [assistant_1]
Мусаева Ботагоз [assistant_1]
Тукеева Назира [assistant_1]
Абдыкадыр Салтанат [assistant_1]</x:v>
      </x:c>
      <x:c r="P15" s="33" t="b">
        <x:v>0</x:v>
      </x:c>
      <x:c r="Q15" s="32" t="str">
        <x:v>create_candidate</x:v>
      </x:c>
      <x:c r="R15" s="32" t="str">
        <x:v>review_create_or_skip</x:v>
      </x:c>
      <x:c r="S15" s="32" t="str"/>
      <x:c r="T15" s="32" t="str"/>
      <x:c r="U15" s="32" t="str"/>
    </x:row>
    <x:row r="16" ht="42" customHeight="1">
      <x:c r="A16" s="32" t="str">
        <x:v>1 кв проекты 2024 rbi.xlsx::проекты 1 кв 2024::39</x:v>
      </x:c>
      <x:c r="B16" s="32" t="str">
        <x:v>1 кв Проекты 2024_RBI.xlsx</x:v>
      </x:c>
      <x:c r="C16" s="32" t="str">
        <x:v>Проекты 1 кв 2024</x:v>
      </x:c>
      <x:c r="D16" s="32" t="n">
        <x:v>39</x:v>
      </x:c>
      <x:c r="E16" s="32" t="str">
        <x:v>Kalamkas - Khazar Operating</x:v>
      </x:c>
      <x:c r="F16" s="32" t="str">
        <x:v>Аудит ФО</x:v>
      </x:c>
      <x:c r="G16" s="32" t="str">
        <x:v>IAC Russell Bedford A+ Partners LLP</x:v>
      </x:c>
      <x:c r="H16" s="32" t="str">
        <x:v>not_found</x:v>
      </x:c>
      <x:c r="I16" s="32" t="str"/>
      <x:c r="J16" s="32" t="n">
        <x:v>0</x:v>
      </x:c>
      <x:c r="K16" s="32" t="str">
        <x:v>not_found</x:v>
      </x:c>
      <x:c r="L16" s="32" t="str"/>
      <x:c r="M16" s="32" t="str"/>
      <x:c r="N16" s="32" t="str"/>
      <x:c r="O16" s="32" t="str">
        <x:v>Арнабеков Ерлан [partner]
Роза Бакишева [manager_1]
Мухашев Куаныш Кудашулы [partner]
Жораханов Жанибек [assistant_1]
Бекжанов Бақытжан Абылқасымұлы [supervisor_1]</x:v>
      </x:c>
      <x:c r="P16" s="33" t="b">
        <x:v>0</x:v>
      </x:c>
      <x:c r="Q16" s="32" t="str">
        <x:v>create_candidate</x:v>
      </x:c>
      <x:c r="R16" s="32" t="str">
        <x:v>review_create_or_skip</x:v>
      </x:c>
      <x:c r="S16" s="32" t="str"/>
      <x:c r="T16" s="32" t="str"/>
      <x:c r="U16" s="32" t="str"/>
    </x:row>
    <x:row r="17" ht="42" customHeight="1">
      <x:c r="A17" s="32" t="str">
        <x:v>1 кв проекты 2024 rbi.xlsx::проекты 1 кв 2024::44</x:v>
      </x:c>
      <x:c r="B17" s="32" t="str">
        <x:v>1 кв Проекты 2024_RBI.xlsx</x:v>
      </x:c>
      <x:c r="C17" s="32" t="str">
        <x:v>Проекты 1 кв 2024</x:v>
      </x:c>
      <x:c r="D17" s="32" t="n">
        <x:v>44</x:v>
      </x:c>
      <x:c r="E17" s="32" t="str">
        <x:v>Kyran Logistics (перешли в паркер )</x:v>
      </x:c>
      <x:c r="F17" s="32" t="str">
        <x:v>Аудит ФО</x:v>
      </x:c>
      <x:c r="G17" s="32" t="str">
        <x:v>IAC Russell Bedford A+ Partners LLP</x:v>
      </x:c>
      <x:c r="H17" s="32" t="str">
        <x:v>not_found</x:v>
      </x:c>
      <x:c r="I17" s="32" t="str"/>
      <x:c r="J17" s="32" t="n">
        <x:v>0</x:v>
      </x:c>
      <x:c r="K17" s="32" t="str">
        <x:v>not_found</x:v>
      </x:c>
      <x:c r="L17" s="32" t="str">
        <x:v>1. ТОО «Kyran logistics (Қыран логистикс)» [25] (09aefea7-d757-4ecd-b761-39062d66c721)
2. ТАЗА СУ (ПАРКЕР) - АУДИТ за 2024 [15] (e9767dda-2965-4d5a-9ad2-c6b5a097ffe0)</x:v>
      </x:c>
      <x:c r="M17" s="32" t="str"/>
      <x:c r="N17" s="32" t="str"/>
      <x:c r="O17" s="32" t="str">
        <x:v>Арнабеков Ерлан [partner]</x:v>
      </x:c>
      <x:c r="P17" s="33" t="b">
        <x:v>0</x:v>
      </x:c>
      <x:c r="Q17" s="32" t="str">
        <x:v>create_candidate</x:v>
      </x:c>
      <x:c r="R17" s="32" t="str">
        <x:v>review_create_or_skip</x:v>
      </x:c>
      <x:c r="S17" s="32" t="str"/>
      <x:c r="T17" s="32" t="str"/>
      <x:c r="U17" s="32" t="str"/>
    </x:row>
    <x:row r="18" ht="42" customHeight="1">
      <x:c r="A18" s="32" t="str">
        <x:v>1 кв проекты 2024 rbi.xlsx::проекты 1 кв 2024::49</x:v>
      </x:c>
      <x:c r="B18" s="32" t="str">
        <x:v>1 кв Проекты 2024_RBI.xlsx</x:v>
      </x:c>
      <x:c r="C18" s="32" t="str">
        <x:v>Проекты 1 кв 2024</x:v>
      </x:c>
      <x:c r="D18" s="32" t="n">
        <x:v>49</x:v>
      </x:c>
      <x:c r="E18" s="32" t="str">
        <x:v>ТОО Альфараби Оперейтинг</x:v>
      </x:c>
      <x:c r="F18" s="32" t="str">
        <x:v>Аудит ФО</x:v>
      </x:c>
      <x:c r="G18" s="32" t="str">
        <x:v>IAC Russell Bedford A+ Partners LLP</x:v>
      </x:c>
      <x:c r="H18" s="32" t="str">
        <x:v>not_found</x:v>
      </x:c>
      <x:c r="I18" s="32" t="str"/>
      <x:c r="J18" s="32" t="n">
        <x:v>0</x:v>
      </x:c>
      <x:c r="K18" s="32" t="str">
        <x:v>not_found</x:v>
      </x:c>
      <x:c r="L18" s="32" t="str">
        <x:v>1. ТОО Женис Оперейтинг (за период 2023-2025) [60] (2ba8ccf4-86b1-4212-86c0-8737b26d140b)
2. ТОО Женис Оперейтинг (за период 2023-2025) [60] (c21511fc-c43b-47d1-b47e-04b682751abd)
3. ТОО «Аль-Фараби Оперейтинг» [25] (4ffb6df1-3fa9-4362-9182-f8d6ca32dfee)
4. ТОО «Аль-Фараби Оперейтинг» [25] (b3e8dd4c-26ff-4d39-af21-8de208770b43)</x:v>
      </x:c>
      <x:c r="M18" s="32" t="str"/>
      <x:c r="N18" s="32" t="str"/>
      <x:c r="O18" s="32" t="str">
        <x:v>Шынгыс Сартаев [partner]
Роза Бакишева [manager_1]</x:v>
      </x:c>
      <x:c r="P18" s="33" t="b">
        <x:v>0</x:v>
      </x:c>
      <x:c r="Q18" s="32" t="str">
        <x:v>create_candidate</x:v>
      </x:c>
      <x:c r="R18" s="32" t="str">
        <x:v>review_create_or_skip</x:v>
      </x:c>
      <x:c r="S18" s="32" t="str"/>
      <x:c r="T18" s="32" t="str"/>
      <x:c r="U18" s="32" t="str"/>
    </x:row>
    <x:row r="19" ht="42" customHeight="1">
      <x:c r="A19" s="32" t="str">
        <x:v>1 кв проекты 2024 rbi.xlsx::проекты 1 кв 2024::56</x:v>
      </x:c>
      <x:c r="B19" s="32" t="str">
        <x:v>1 кв Проекты 2024_RBI.xlsx</x:v>
      </x:c>
      <x:c r="C19" s="32" t="str">
        <x:v>Проекты 1 кв 2024</x:v>
      </x:c>
      <x:c r="D19" s="32" t="n">
        <x:v>56</x:v>
      </x:c>
      <x:c r="E19" s="32" t="str">
        <x:v>ТОО КАЭС</x:v>
      </x:c>
      <x:c r="F19" s="32" t="str">
        <x:v>Аудит ФО</x:v>
      </x:c>
      <x:c r="G19" s="32" t="str">
        <x:v>IAC Russell Bedford A+ Partners LLP</x:v>
      </x:c>
      <x:c r="H19" s="32" t="str">
        <x:v>not_found</x:v>
      </x:c>
      <x:c r="I19" s="32" t="str"/>
      <x:c r="J19" s="32" t="n">
        <x:v>0</x:v>
      </x:c>
      <x:c r="K19" s="32" t="str">
        <x:v>not_found</x:v>
      </x:c>
      <x:c r="L19" s="32" t="str"/>
      <x:c r="M19" s="32" t="str"/>
      <x:c r="N19" s="32" t="str"/>
      <x:c r="O19" s="32" t="str">
        <x:v>Шынгыс Сартаев [partner]</x:v>
      </x:c>
      <x:c r="P19" s="33" t="b">
        <x:v>0</x:v>
      </x:c>
      <x:c r="Q19" s="32" t="str">
        <x:v>create_candidate</x:v>
      </x:c>
      <x:c r="R19" s="32" t="str">
        <x:v>review_create_or_skip</x:v>
      </x:c>
      <x:c r="S19" s="32" t="str"/>
      <x:c r="T19" s="32" t="str"/>
      <x:c r="U19" s="32" t="str"/>
    </x:row>
    <x:row r="20" ht="42" customHeight="1">
      <x:c r="A20" s="32" t="str">
        <x:v>1 кв проекты 2024 rbi.xlsx::проекты 1 кв 2024::57</x:v>
      </x:c>
      <x:c r="B20" s="32" t="str">
        <x:v>1 кв Проекты 2024_RBI.xlsx</x:v>
      </x:c>
      <x:c r="C20" s="32" t="str">
        <x:v>Проекты 1 кв 2024</x:v>
      </x:c>
      <x:c r="D20" s="32" t="n">
        <x:v>57</x:v>
      </x:c>
      <x:c r="E20" s="32" t="str">
        <x:v>РГП на ПХВ Казахстанский монетный двор НБ РК</x:v>
      </x:c>
      <x:c r="F20" s="32" t="str">
        <x:v>Аудит ФО</x:v>
      </x:c>
      <x:c r="G20" s="32" t="str">
        <x:v>IAC Russell Bedford A+ Partners LLP</x:v>
      </x:c>
      <x:c r="H20" s="32" t="str">
        <x:v>not_found</x:v>
      </x:c>
      <x:c r="I20" s="32" t="str"/>
      <x:c r="J20" s="32" t="n">
        <x:v>0</x:v>
      </x:c>
      <x:c r="K20" s="32" t="str">
        <x:v>conflict</x:v>
      </x:c>
      <x:c r="L20" s="32" t="str">
        <x:v>1. ТОО «ALTAI MAI» - Аудит финансовой отчетности ТОО «ALTAI MAI» за период с 1 января 2024 года по 31 декабря 2024 года, подготовленной в соответствии с Международными Стандартами Финансовой Отчетности и проверка входящего сальдо 2023 года [72] (7dcaeb80-edc7-4849-a6b5-130e9149fc97)
2. Акционерное общество "Социально-предпринимательская корпорация "Сарыарка" - Услуги по проведению аудита финансовой отчетности [37] (d4e2f0e3-63d3-4ff4-948e-fa6883a6d2ef)
3. АО Социально-предпринимательская корпорация "Сарыарка - Услуги по проведению аудита финансовой отчетности; [37] (52d118b5-5ff3-4133-8236-8f11ba4fd53a)
4. АО Социально-предпринимательская корпорация "Сарыарка" - Услуги по проведению аудита финансовой отчетности; [37] (1e912d8d-f623-4c3e-8431-7be84fa3cd31)
5. ТОО Коллекторское агентство Эксперт Плюс - услуг по проведению аудита бухгалтерского учета и финансовой отчётности: по МСФО (IFRS): Полная проверка соответствия учетной политики и финансовой отчетности применимым стандартами, с особым фокусом на: 
- МСФО (IFRS) 9 «Финансовые инструменты»: Корректность первоначального признания и последующей оценки приобретенных портфелей задолженности по справедливой стоимости. Обоснованность методологии и расчетов резервов под ожидаемые кредитные убытки (ECL);
- МСФО (IFRS) 15 «Выручка по договорам с покупателями»: Правильность признания выручки от успешно взысканных долгов, комиссионных доходов;
- МСФО (IАS) 1,8,37 и др.: Адекватность раскрытий в отчетности, учет оценочных обязательств;
- По Национальным стандартам (КСБУ/НСФО) РК: Проверка корректности ведения бухгалтерского учета и составления отчетности в соответствии с действующими КСБУ РК; 
-  Анализ учетной политики в рамках МСФО и КСБУ 
 [37] (bd3b1192-38bc-45de-94d3-968955db589f)</x:v>
      </x:c>
      <x:c r="M20" s="32" t="str"/>
      <x:c r="N20" s="32" t="str"/>
      <x:c r="O20" s="32" t="str">
        <x:v>Сауле Бадамбаева [partner]
Жаркымбекова Камиля [assistant_1]</x:v>
      </x:c>
      <x:c r="P20" s="33" t="b">
        <x:v>0</x:v>
      </x:c>
      <x:c r="Q20" s="32" t="str">
        <x:v>create_candidate</x:v>
      </x:c>
      <x:c r="R20" s="32" t="str">
        <x:v>review_create_or_skip</x:v>
      </x:c>
      <x:c r="S20" s="32" t="str"/>
      <x:c r="T20" s="32" t="str"/>
      <x:c r="U20" s="32" t="str"/>
    </x:row>
    <x:row r="21" ht="42" customHeight="1">
      <x:c r="A21" s="32" t="str">
        <x:v>1 кв проекты 2024 rbi.xlsx::проекты 1 кв 2024::60</x:v>
      </x:c>
      <x:c r="B21" s="32" t="str">
        <x:v>1 кв Проекты 2024_RBI.xlsx</x:v>
      </x:c>
      <x:c r="C21" s="32" t="str">
        <x:v>Проекты 1 кв 2024</x:v>
      </x:c>
      <x:c r="D21" s="32" t="n">
        <x:v>60</x:v>
      </x:c>
      <x:c r="E21" s="32" t="str">
        <x:v>АО Baiterek Venture Fund</x:v>
      </x:c>
      <x:c r="F21" s="32" t="str">
        <x:v>Аудит ФО</x:v>
      </x:c>
      <x:c r="G21" s="32" t="str">
        <x:v>IAC Russell Bedford A+ Partners LLP</x:v>
      </x:c>
      <x:c r="H21" s="32" t="str">
        <x:v>not_found</x:v>
      </x:c>
      <x:c r="I21" s="32" t="str"/>
      <x:c r="J21" s="32" t="n">
        <x:v>0</x:v>
      </x:c>
      <x:c r="K21" s="32" t="str">
        <x:v>not_found</x:v>
      </x:c>
      <x:c r="L21" s="32" t="str">
        <x:v>1. 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 [31] (03813a13-459e-4d7f-ac17-8e2d050faccd)
2. Частная компания AGS Global Ventures Umbrella Fund - услуг по проведению аудита финансовой отчетности Закрытой инвестиционной компании с ограниченной ответственностью AGS Global Ventures Umbrella Fund за 2025 год
 [12] (34ebbf9d-a767-41c1-8854-e6335ac378c7)
3. Частная компания White Hill Capital Ltd - услуг по проведению аудита финансовой отчетности Ограниченного партнерства «TUMAR VENTURE FUND LP, за 2025 год (далее – «Услуги») в соответствии с МСФО и МСА  [12] (e085e3c8-af5c-4529-b1f5-b4436df6a210)</x:v>
      </x:c>
      <x:c r="M21" s="32" t="str"/>
      <x:c r="N21" s="32" t="str"/>
      <x:c r="O21" s="32" t="str">
        <x:v>Шынгыс Сартаев [partner]
Василий Павленко [assistant_1]
Дмитрий Сыч [assistant_1]
Нурбаев Ерганат [assistant_1]
Казбекова Малика [assistant_1]
Гридюшко Александра [assistant_1]</x:v>
      </x:c>
      <x:c r="P21" s="33" t="b">
        <x:v>0</x:v>
      </x:c>
      <x:c r="Q21" s="32" t="str">
        <x:v>create_candidate</x:v>
      </x:c>
      <x:c r="R21" s="32" t="str">
        <x:v>review_create_or_skip</x:v>
      </x:c>
      <x:c r="S21" s="32" t="str"/>
      <x:c r="T21" s="32" t="str"/>
      <x:c r="U21" s="32" t="str"/>
    </x:row>
    <x:row r="22" ht="42" customHeight="1">
      <x:c r="A22" s="32" t="str">
        <x:v>1 кв проекты 2024 rbi.xlsx::проекты 1 кв 2024::65</x:v>
      </x:c>
      <x:c r="B22" s="32" t="str">
        <x:v>1 кв Проекты 2024_RBI.xlsx</x:v>
      </x:c>
      <x:c r="C22" s="32" t="str">
        <x:v>Проекты 1 кв 2024</x:v>
      </x:c>
      <x:c r="D22" s="32" t="n">
        <x:v>65</x:v>
      </x:c>
      <x:c r="E22" s="32" t="str">
        <x:v>Kazmunaygaz-aero</x:v>
      </x:c>
      <x:c r="F22" s="32" t="str">
        <x:v>Аудит ФО</x:v>
      </x:c>
      <x:c r="G22" s="32" t="str">
        <x:v>IAC Russell Bedford A+ Partners LLP</x:v>
      </x:c>
      <x:c r="H22" s="32" t="str">
        <x:v>not_found</x:v>
      </x:c>
      <x:c r="I22" s="32" t="str"/>
      <x:c r="J22" s="32" t="n">
        <x:v>0</x:v>
      </x:c>
      <x:c r="K22" s="32" t="str">
        <x:v>not_found</x:v>
      </x:c>
      <x:c r="L22" s="32" t="str"/>
      <x:c r="M22" s="32" t="str"/>
      <x:c r="N22" s="32" t="str"/>
      <x:c r="O22" s="32" t="str">
        <x:v>Кенжекулов Адилжан Абдикалыкович [partner]</x:v>
      </x:c>
      <x:c r="P22" s="33" t="b">
        <x:v>0</x:v>
      </x:c>
      <x:c r="Q22" s="32" t="str">
        <x:v>create_candidate</x:v>
      </x:c>
      <x:c r="R22" s="32" t="str">
        <x:v>review_create_or_skip</x:v>
      </x:c>
      <x:c r="S22" s="32" t="str"/>
      <x:c r="T22" s="32" t="str"/>
      <x:c r="U22" s="32" t="str"/>
    </x:row>
    <x:row r="23" ht="42" customHeight="1">
      <x:c r="A23" s="32" t="str">
        <x:v>1 кв проекты 2024 rbi.xlsx::проекты 1 кв 2024::74</x:v>
      </x:c>
      <x:c r="B23" s="32" t="str">
        <x:v>1 кв Проекты 2024_RBI.xlsx</x:v>
      </x:c>
      <x:c r="C23" s="32" t="str">
        <x:v>Проекты 1 кв 2024</x:v>
      </x:c>
      <x:c r="D23" s="32" t="n">
        <x:v>74</x:v>
      </x:c>
      <x:c r="E23" s="32" t="str">
        <x:v>АО N1broker</x:v>
      </x:c>
      <x:c r="F23" s="32" t="str">
        <x:v>Аудит ФО</x:v>
      </x:c>
      <x:c r="G23" s="32" t="str">
        <x:v>IAC Russell Bedford A+ Partners LLP</x:v>
      </x:c>
      <x:c r="H23" s="32" t="str">
        <x:v>not_found</x:v>
      </x:c>
      <x:c r="I23" s="32" t="str"/>
      <x:c r="J23" s="32" t="n">
        <x:v>0</x:v>
      </x:c>
      <x:c r="K23" s="32" t="str">
        <x:v>not_found</x:v>
      </x:c>
      <x:c r="L23" s="32" t="str"/>
      <x:c r="M23" s="32" t="str"/>
      <x:c r="N23" s="32" t="str"/>
      <x:c r="O23" s="32" t="str">
        <x:v>Шынгыс Сартаев [partner]</x:v>
      </x:c>
      <x:c r="P23" s="33" t="b">
        <x:v>0</x:v>
      </x:c>
      <x:c r="Q23" s="32" t="str">
        <x:v>create_candidate</x:v>
      </x:c>
      <x:c r="R23" s="32" t="str">
        <x:v>review_create_or_skip</x:v>
      </x:c>
      <x:c r="S23" s="32" t="str"/>
      <x:c r="T23" s="32" t="str"/>
      <x:c r="U23" s="32" t="str"/>
    </x:row>
    <x:row r="24" ht="42" customHeight="1">
      <x:c r="A24" s="32" t="str">
        <x:v>1 кв проекты 2024 rbi.xlsx::проекты 1 кв 2024::75</x:v>
      </x:c>
      <x:c r="B24" s="32" t="str">
        <x:v>1 кв Проекты 2024_RBI.xlsx</x:v>
      </x:c>
      <x:c r="C24" s="32" t="str">
        <x:v>Проекты 1 кв 2024</x:v>
      </x:c>
      <x:c r="D24" s="32" t="n">
        <x:v>75</x:v>
      </x:c>
      <x:c r="E24" s="32" t="str">
        <x:v>Заммлер ( перешли в паркер)</x:v>
      </x:c>
      <x:c r="F24" s="32" t="str">
        <x:v>Аудит ФО</x:v>
      </x:c>
      <x:c r="G24" s="32" t="str">
        <x:v>IAC Russell Bedford A+ Partners LLP</x:v>
      </x:c>
      <x:c r="H24" s="32" t="str">
        <x:v>not_found</x:v>
      </x:c>
      <x:c r="I24" s="32" t="str"/>
      <x:c r="J24" s="32" t="n">
        <x:v>0</x:v>
      </x:c>
      <x:c r="K24" s="32" t="str">
        <x:v>not_found</x:v>
      </x:c>
      <x:c r="L24" s="32" t="str">
        <x:v>1. ТАЗА СУ (ПАРКЕР) - АУДИТ за 2024 [19] (e9767dda-2965-4d5a-9ad2-c6b5a097ffe0)</x:v>
      </x:c>
      <x:c r="M24" s="32" t="str"/>
      <x:c r="N24" s="32" t="str"/>
      <x:c r="O24" s="32" t="str">
        <x:v>Арнабеков Ерлан [partner]
Сейфуллина Гульмира Саятхановна [partner]</x:v>
      </x:c>
      <x:c r="P24" s="33" t="b">
        <x:v>0</x:v>
      </x:c>
      <x:c r="Q24" s="32" t="str">
        <x:v>create_candidate</x:v>
      </x:c>
      <x:c r="R24" s="32" t="str">
        <x:v>review_create_or_skip</x:v>
      </x:c>
      <x:c r="S24" s="32" t="str"/>
      <x:c r="T24" s="32" t="str"/>
      <x:c r="U24" s="32" t="str"/>
    </x:row>
    <x:row r="25" ht="42" customHeight="1">
      <x:c r="A25" s="32" t="str">
        <x:v>1 кв проекты 2024 rbi.xlsx::проекты 1 кв 2024::76</x:v>
      </x:c>
      <x:c r="B25" s="32" t="str">
        <x:v>1 кв Проекты 2024_RBI.xlsx</x:v>
      </x:c>
      <x:c r="C25" s="32" t="str">
        <x:v>Проекты 1 кв 2024</x:v>
      </x:c>
      <x:c r="D25" s="32" t="n">
        <x:v>76</x:v>
      </x:c>
      <x:c r="E25" s="32" t="str">
        <x:v>КМG Security</x:v>
      </x:c>
      <x:c r="F25" s="32" t="str">
        <x:v>Аудит ФО</x:v>
      </x:c>
      <x:c r="G25" s="32" t="str">
        <x:v>IAC Russell Bedford A+ Partners LLP</x:v>
      </x:c>
      <x:c r="H25" s="32" t="str">
        <x:v>not_found</x:v>
      </x:c>
      <x:c r="I25" s="32" t="str"/>
      <x:c r="J25" s="32" t="n">
        <x:v>0</x:v>
      </x:c>
      <x:c r="K25" s="32" t="str">
        <x:v>not_found</x:v>
      </x:c>
      <x:c r="L25" s="32" t="str">
        <x:v>1. ТОО KMG-Security (за период 2022-2024) [60] (afafe527-1044-4b01-9940-749e194a82ed)</x:v>
      </x:c>
      <x:c r="M25" s="32" t="str"/>
      <x:c r="N25" s="32" t="str"/>
      <x:c r="O25" s="32" t="str">
        <x:v>Арнабеков Ерлан [partner]
Сейфуллина Гульмира Саятхановна [partner]
Гулсун [assistant_1]
Сейткереев Сакен [assistant_1]</x:v>
      </x:c>
      <x:c r="P25" s="33" t="b">
        <x:v>0</x:v>
      </x:c>
      <x:c r="Q25" s="32" t="str">
        <x:v>create_candidate</x:v>
      </x:c>
      <x:c r="R25" s="32" t="str">
        <x:v>review_create_or_skip</x:v>
      </x:c>
      <x:c r="S25" s="32" t="str"/>
      <x:c r="T25" s="32" t="str"/>
      <x:c r="U25" s="32" t="str"/>
    </x:row>
    <x:row r="26" ht="42" customHeight="1">
      <x:c r="A26" s="32" t="str">
        <x:v>1 кв проекты 2024 rbi.xlsx::проекты 1 кв 2024::79</x:v>
      </x:c>
      <x:c r="B26" s="32" t="str">
        <x:v>1 кв Проекты 2024_RBI.xlsx</x:v>
      </x:c>
      <x:c r="C26" s="32" t="str">
        <x:v>Проекты 1 кв 2024</x:v>
      </x:c>
      <x:c r="D26" s="32" t="n">
        <x:v>79</x:v>
      </x:c>
      <x:c r="E26" s="32" t="str">
        <x:v>Stark Alpha</x:v>
      </x:c>
      <x:c r="F26" s="32" t="str">
        <x:v>Аудит ФО</x:v>
      </x:c>
      <x:c r="G26" s="32" t="str">
        <x:v>IAC Russell Bedford A+ Partners LLP</x:v>
      </x:c>
      <x:c r="H26" s="32" t="str">
        <x:v>not_found</x:v>
      </x:c>
      <x:c r="I26" s="32" t="str"/>
      <x:c r="J26" s="32" t="n">
        <x:v>0</x:v>
      </x:c>
      <x:c r="K26" s="32" t="str">
        <x:v>not_found</x:v>
      </x:c>
      <x:c r="L26" s="32" t="str">
        <x:v>1. ЧК Alpha State Management Ltd [25] (7fa36cb9-498e-4c3f-8211-1ed1810fd380)
2. Частная компания Alpha State Management Ltd - услуг по проведению аудита финансовой отчетности Частной компании Alpha State Management Ltd. за 2025 год [4] (f5a98483-9823-48dd-9923-541bbfe90798)</x:v>
      </x:c>
      <x:c r="M26" s="32" t="str"/>
      <x:c r="N26" s="32" t="str"/>
      <x:c r="O26" s="32" t="str">
        <x:v>Шынгыс Сартаев [partner]
Ембердиев Ермек [manager_1]</x:v>
      </x:c>
      <x:c r="P26" s="33" t="b">
        <x:v>0</x:v>
      </x:c>
      <x:c r="Q26" s="32" t="str">
        <x:v>create_candidate</x:v>
      </x:c>
      <x:c r="R26" s="32" t="str">
        <x:v>review_create_or_skip</x:v>
      </x:c>
      <x:c r="S26" s="32" t="str"/>
      <x:c r="T26" s="32" t="str"/>
      <x:c r="U26" s="32" t="str"/>
    </x:row>
    <x:row r="27" ht="42" customHeight="1">
      <x:c r="A27" s="32" t="str">
        <x:v>1 кв проекты 2024 rbi.xlsx::проекты 1 кв 2024::80</x:v>
      </x:c>
      <x:c r="B27" s="32" t="str">
        <x:v>1 кв Проекты 2024_RBI.xlsx</x:v>
      </x:c>
      <x:c r="C27" s="32" t="str">
        <x:v>Проекты 1 кв 2024</x:v>
      </x:c>
      <x:c r="D27" s="32" t="n">
        <x:v>80</x:v>
      </x:c>
      <x:c r="E27" s="32" t="str">
        <x:v>Техконструктивстрой</x:v>
      </x:c>
      <x:c r="F27" s="32" t="str">
        <x:v>Аудит ФО</x:v>
      </x:c>
      <x:c r="G27" s="32" t="str">
        <x:v>IAC Russell Bedford A+ Partners LLP</x:v>
      </x:c>
      <x:c r="H27" s="32" t="str">
        <x:v>not_found</x:v>
      </x:c>
      <x:c r="I27" s="32" t="str"/>
      <x:c r="J27" s="32" t="n">
        <x:v>0</x:v>
      </x:c>
      <x:c r="K27" s="32" t="str">
        <x:v>not_found</x:v>
      </x:c>
      <x:c r="L27" s="32" t="str"/>
      <x:c r="M27" s="32" t="str"/>
      <x:c r="N27" s="32" t="str"/>
      <x:c r="O27" s="32" t="str">
        <x:v>Кудайбергенова Шолпанай [partner]
Саида Ахметжанова [partner]</x:v>
      </x:c>
      <x:c r="P27" s="33" t="b">
        <x:v>0</x:v>
      </x:c>
      <x:c r="Q27" s="32" t="str">
        <x:v>create_candidate</x:v>
      </x:c>
      <x:c r="R27" s="32" t="str">
        <x:v>review_create_or_skip</x:v>
      </x:c>
      <x:c r="S27" s="32" t="str"/>
      <x:c r="T27" s="32" t="str"/>
      <x:c r="U27" s="32" t="str"/>
    </x:row>
    <x:row r="28" ht="42" customHeight="1">
      <x:c r="A28" s="32" t="str">
        <x:v>1 кв проекты 2024 rbi.xlsx::проекты 1 кв 2024::81</x:v>
      </x:c>
      <x:c r="B28" s="32" t="str">
        <x:v>1 кв Проекты 2024_RBI.xlsx</x:v>
      </x:c>
      <x:c r="C28" s="32" t="str">
        <x:v>Проекты 1 кв 2024</x:v>
      </x:c>
      <x:c r="D28" s="32" t="n">
        <x:v>81</x:v>
      </x:c>
      <x:c r="E28" s="32" t="str">
        <x:v>AB Exim Mananagement</x:v>
      </x:c>
      <x:c r="F28" s="32" t="str">
        <x:v>Аудит ФО</x:v>
      </x:c>
      <x:c r="G28" s="32" t="str">
        <x:v>IAC Russell Bedford A+ Partners LLP</x:v>
      </x:c>
      <x:c r="H28" s="32" t="str">
        <x:v>not_found</x:v>
      </x:c>
      <x:c r="I28" s="32" t="str"/>
      <x:c r="J28" s="32" t="n">
        <x:v>0</x:v>
      </x:c>
      <x:c r="K28" s="32" t="str">
        <x:v>not_found</x:v>
      </x:c>
      <x:c r="L28" s="32" t="str"/>
      <x:c r="M28" s="32" t="str"/>
      <x:c r="N28" s="32" t="str"/>
      <x:c r="O28" s="32" t="str">
        <x:v>Кудайбергенова Шолпанай [partner]
Саида Ахметжанова [partner]</x:v>
      </x:c>
      <x:c r="P28" s="33" t="b">
        <x:v>0</x:v>
      </x:c>
      <x:c r="Q28" s="32" t="str">
        <x:v>create_candidate</x:v>
      </x:c>
      <x:c r="R28" s="32" t="str">
        <x:v>review_create_or_skip</x:v>
      </x:c>
      <x:c r="S28" s="32" t="str"/>
      <x:c r="T28" s="32" t="str"/>
      <x:c r="U28" s="32" t="str"/>
    </x:row>
    <x:row r="29" ht="42" customHeight="1">
      <x:c r="A29" s="32" t="str">
        <x:v>1 кв проекты 2024 rbi.xlsx::проекты 1 кв 2024::82</x:v>
      </x:c>
      <x:c r="B29" s="32" t="str">
        <x:v>1 кв Проекты 2024_RBI.xlsx</x:v>
      </x:c>
      <x:c r="C29" s="32" t="str">
        <x:v>Проекты 1 кв 2024</x:v>
      </x:c>
      <x:c r="D29" s="32" t="n">
        <x:v>82</x:v>
      </x:c>
      <x:c r="E29" s="32" t="str">
        <x:v>ТОО ETC-Тендер</x:v>
      </x:c>
      <x:c r="F29" s="32" t="str">
        <x:v>Аудит ФО</x:v>
      </x:c>
      <x:c r="G29" s="32" t="str">
        <x:v>IAC Russell Bedford A+ Partners LLP</x:v>
      </x:c>
      <x:c r="H29" s="32" t="str">
        <x:v>not_found</x:v>
      </x:c>
      <x:c r="I29" s="32" t="str"/>
      <x:c r="J29" s="32" t="n">
        <x:v>0</x:v>
      </x:c>
      <x:c r="K29" s="32" t="str">
        <x:v>not_found</x:v>
      </x:c>
      <x:c r="L29" s="32" t="str">
        <x:v>1. ТОО «ЕТС-Тендер» (за период 2023-2025) [60] (3f27393f-fbd4-496a-bdea-72c13b1e3499)
2. ТОО «ЕТС-Тендер» (за период 2023-2025) [60] (b275710d-7734-4a34-9671-09af55bc052c)
3. ТОО «ЕТС-Тендер» (за период 2023-2025) [60] (eb6ed194-3934-447c-a5f4-af202688daf6)</x:v>
      </x:c>
      <x:c r="M29" s="32" t="str"/>
      <x:c r="N29" s="32" t="str"/>
      <x:c r="O29" s="32" t="str">
        <x:v>Арнабеков Ерлан [partner]
Аманов Онгар [assistant_1]
Жорабеков Жанибек [manager_2]
Бекжанов Бақытжан Абылқасымұлы [supervisor_1]</x:v>
      </x:c>
      <x:c r="P29" s="33" t="b">
        <x:v>0</x:v>
      </x:c>
      <x:c r="Q29" s="32" t="str">
        <x:v>create_candidate</x:v>
      </x:c>
      <x:c r="R29" s="32" t="str">
        <x:v>review_create_or_skip</x:v>
      </x:c>
      <x:c r="S29" s="32" t="str"/>
      <x:c r="T29" s="32" t="str"/>
      <x:c r="U29" s="32" t="str"/>
    </x:row>
    <x:row r="30" ht="42" customHeight="1">
      <x:c r="A30" s="32" t="str">
        <x:v>1 кв проекты 2024 rbi.xlsx::проекты 1 кв 2024::88</x:v>
      </x:c>
      <x:c r="B30" s="32" t="str">
        <x:v>1 кв Проекты 2024_RBI.xlsx</x:v>
      </x:c>
      <x:c r="C30" s="32" t="str">
        <x:v>Проекты 1 кв 2024</x:v>
      </x:c>
      <x:c r="D30" s="32" t="n">
        <x:v>88</x:v>
      </x:c>
      <x:c r="E30" s="32" t="str">
        <x:v>Ирбис Логистикс ( перешли в паркер)</x:v>
      </x:c>
      <x:c r="F30" s="32" t="str">
        <x:v>Аудит ФО</x:v>
      </x:c>
      <x:c r="G30" s="32" t="str">
        <x:v>IAC Russell Bedford A+ Partners LLP</x:v>
      </x:c>
      <x:c r="H30" s="32" t="str">
        <x:v>not_found</x:v>
      </x:c>
      <x:c r="I30" s="32" t="str"/>
      <x:c r="J30" s="32" t="n">
        <x:v>0</x:v>
      </x:c>
      <x:c r="K30" s="32" t="str">
        <x:v>not_found</x:v>
      </x:c>
      <x:c r="L30" s="32" t="str">
        <x:v>1. ТАЗА СУ (ПАРКЕР) - АУДИТ за 2024 [15] (e9767dda-2965-4d5a-9ad2-c6b5a097ffe0)</x:v>
      </x:c>
      <x:c r="M30" s="32" t="str"/>
      <x:c r="N30" s="32" t="str"/>
      <x:c r="O30" s="32" t="str">
        <x:v>Арнабеков Ерлан [partner]
Сейфуллина Гульмира Саятхановна [partner]</x:v>
      </x:c>
      <x:c r="P30" s="33" t="b">
        <x:v>0</x:v>
      </x:c>
      <x:c r="Q30" s="32" t="str">
        <x:v>create_candidate</x:v>
      </x:c>
      <x:c r="R30" s="32" t="str">
        <x:v>review_create_or_skip</x:v>
      </x:c>
      <x:c r="S30" s="32" t="str"/>
      <x:c r="T30" s="32" t="str"/>
      <x:c r="U30" s="32" t="str"/>
    </x:row>
    <x:row r="31" ht="42" customHeight="1">
      <x:c r="A31" s="32" t="str">
        <x:v>1 кв проекты 2024 rbi.xlsx::проекты 1 кв 2024::89</x:v>
      </x:c>
      <x:c r="B31" s="32" t="str">
        <x:v>1 кв Проекты 2024_RBI.xlsx</x:v>
      </x:c>
      <x:c r="C31" s="32" t="str">
        <x:v>Проекты 1 кв 2024</x:v>
      </x:c>
      <x:c r="D31" s="32" t="n">
        <x:v>89</x:v>
      </x:c>
      <x:c r="E31" s="32" t="str">
        <x:v>Олайнфарм Казахстан</x:v>
      </x:c>
      <x:c r="F31" s="32" t="str">
        <x:v>Аудит ФО</x:v>
      </x:c>
      <x:c r="G31" s="32" t="str">
        <x:v>IAC Russell Bedford A+ Partners LLP</x:v>
      </x:c>
      <x:c r="H31" s="32" t="str">
        <x:v>not_found</x:v>
      </x:c>
      <x:c r="I31" s="32" t="str"/>
      <x:c r="J31" s="32" t="n">
        <x:v>0</x:v>
      </x:c>
      <x:c r="K31" s="32" t="str">
        <x:v>conflict</x:v>
      </x:c>
      <x:c r="L31" s="32" t="str">
        <x:v>1. Акционерное общество "Национальная платежная корпорация Национального Банка Республики Казахстан" - АУДИТ за 2024 [72] (49694440-aee8-4cf4-af94-a8d4ef55a462)
2. АО "Республиканская телерадиокорпорация "Казахстан" (за 2024-2026гг) [60] (34cb9178-42ab-4479-96b1-59f9c1eff0a2)
3. АО "Республиканская телерадиокорпорация "Казахстан" (за 2024-2026гг) [60] (79fa8e30-5ba2-49ee-8916-cc490f855d28)
4. АО "Республиканская телерадиокорпорация "Казахстан" (за 2024-2026гг) [60] (dc446cf9-582d-422f-b872-1c69b4fc103c)
5. АО "Республиканская телерадиокорпорация "Казахстан" (за 2024-2026гг) [60] (62f8f591-75ad-4fdc-9a2b-5fe30ca91acc)</x:v>
      </x:c>
      <x:c r="M31" s="32" t="str"/>
      <x:c r="N31" s="32" t="str">
        <x:v>Сауле Бадамбаева [partner]
Нускабаева Райхан [project_leader]
Гульжан Чалова [manager_1]
Қасымбек Тинай Асқарқызы [assistant_1]
Кенжебек Мая Тельманкызы [manager_1]
Идрисов Спандияр [tax_specialist_1]</x:v>
      </x:c>
      <x:c r="O31" s="32" t="str">
        <x:v>Сауле Бадамбаева [partner]
Кенжебек Мая Тельманкызы [manager_1]</x:v>
      </x:c>
      <x:c r="P31" s="33" t="b">
        <x:v>1</x:v>
      </x:c>
      <x:c r="Q31" s="32" t="str">
        <x:v>create_candidate</x:v>
      </x:c>
      <x:c r="R31" s="32" t="str">
        <x:v>review_create_or_skip</x:v>
      </x:c>
      <x:c r="S31" s="32" t="str"/>
      <x:c r="T31" s="32" t="str"/>
      <x:c r="U31" s="32" t="str"/>
    </x:row>
    <x:row r="32" ht="42" customHeight="1">
      <x:c r="A32" s="32" t="str">
        <x:v>1 кв проекты 2024 rbi.xlsx::проекты 1 кв 2024::97</x:v>
      </x:c>
      <x:c r="B32" s="32" t="str">
        <x:v>1 кв Проекты 2024_RBI.xlsx</x:v>
      </x:c>
      <x:c r="C32" s="32" t="str">
        <x:v>Проекты 1 кв 2024</x:v>
      </x:c>
      <x:c r="D32" s="32" t="n">
        <x:v>97</x:v>
      </x:c>
      <x:c r="E32" s="32" t="str">
        <x:v>ТОО ETC-Тендер</x:v>
      </x:c>
      <x:c r="F32" s="32" t="str">
        <x:v>Аудит ФО</x:v>
      </x:c>
      <x:c r="G32" s="32" t="str">
        <x:v>IAC Russell Bedford A+ Partners LLP</x:v>
      </x:c>
      <x:c r="H32" s="32" t="str">
        <x:v>not_found</x:v>
      </x:c>
      <x:c r="I32" s="32" t="str"/>
      <x:c r="J32" s="32" t="n">
        <x:v>0</x:v>
      </x:c>
      <x:c r="K32" s="32" t="str">
        <x:v>not_found</x:v>
      </x:c>
      <x:c r="L32" s="32" t="str"/>
      <x:c r="M32" s="32" t="str"/>
      <x:c r="N32" s="32" t="str"/>
      <x:c r="O32" s="32" t="str">
        <x:v>Арнабеков Ерлан [partner]
Аманов Онгар [assistant_1]
Жорабеков Жанибек [manager_2]
Бекжанов Бақытжан Абылқасымұлы [supervisor_1]</x:v>
      </x:c>
      <x:c r="P32" s="33" t="b">
        <x:v>0</x:v>
      </x:c>
      <x:c r="Q32" s="32" t="str">
        <x:v>create_candidate</x:v>
      </x:c>
      <x:c r="R32" s="32" t="str">
        <x:v>review_create_or_skip</x:v>
      </x:c>
      <x:c r="S32" s="32" t="str"/>
      <x:c r="T32" s="32" t="str"/>
      <x:c r="U32" s="32" t="str"/>
    </x:row>
    <x:row r="33" ht="42" customHeight="1">
      <x:c r="A33" s="32" t="str">
        <x:v>1 кв проекты 2024 rbi.xlsx::консульт услуги 2024 1 кв::2</x:v>
      </x:c>
      <x:c r="B33" s="32" t="str">
        <x:v>1 кв Проекты 2024_RBI.xlsx</x:v>
      </x:c>
      <x:c r="C33" s="32" t="str">
        <x:v>консульт услуги 2024 1 кв</x:v>
      </x:c>
      <x:c r="D33" s="32" t="n">
        <x:v>2</x:v>
      </x:c>
      <x:c r="E33" s="32" t="str">
        <x:v>Центральноазиатский региональный информационный координационный центр по борьбе с незаконным оборотом наркотических средств, психотропных веществ и их прекурсоров</x:v>
      </x:c>
      <x:c r="F33" s="32" t="str">
        <x:v>Задание по выполнению согласованных процедур</x:v>
      </x:c>
      <x:c r="G33" s="32" t="str">
        <x:v>ТОО МАК Russell Bedford A+ Partners</x:v>
      </x:c>
      <x:c r="H33" s="32" t="str">
        <x:v>not_found</x:v>
      </x:c>
      <x:c r="I33" s="32" t="str"/>
      <x:c r="J33" s="32" t="n">
        <x:v>0</x:v>
      </x:c>
      <x:c r="K33" s="32" t="str">
        <x:v>not_found</x:v>
      </x:c>
      <x:c r="L33" s="32" t="str">
        <x:v>1. АО Фонд гарантирования страховых выплат  - Заказчик поручает, а Исполнитель обязуется оказать Услуги в области налогообложения, в части получения консультационных услуг от нерезидента по работе над законопроектом по страховой деятельности. Организация-консультант является резидентом Объединенных Арабских Эмиратов. [7] (c13ff641-4b0c-4d1d-8fc6-ea2a497bda7e)
2. АО Центрально-Азиатская Электроэнергетическая Корпорация [7] (14bcb589-5445-4a45-bc17-5b6d4d75090d)
3. Объединения юридических лиц в форме Ассоциации «Международный центр развития нефтегазового машиностроения» («IMB Центр») [7] (46dcc841-8a44-4bde-832a-c6b7043e93b6)
4. ТОО Расчетно-финансовый центр по поддержке возобновляемых источников энергии» [7] (8a100ffc-8a44-4c7c-84f6-bc16dbf82cf7)
5. ТОО KONE KAZAKHSTAN (КОНЕ КАЗАХСТАН) - услуги по проведению инвентаризации запасов и основных средств офиса Заказчика в г. Алматы;
 [7] (0cd36fb4-e3e5-44fe-8d44-0e3b15a89336)</x:v>
      </x:c>
      <x:c r="M33" s="32" t="str"/>
      <x:c r="N33" s="32" t="str"/>
      <x:c r="O33" s="32" t="str">
        <x:v>Сауле Бадамбаева [partner]</x:v>
      </x:c>
      <x:c r="P33" s="33" t="b">
        <x:v>0</x:v>
      </x:c>
      <x:c r="Q33" s="32" t="str">
        <x:v>create_candidate</x:v>
      </x:c>
      <x:c r="R33" s="32" t="str">
        <x:v>review_create_or_skip</x:v>
      </x:c>
      <x:c r="S33" s="32" t="str"/>
      <x:c r="T33" s="32" t="str"/>
      <x:c r="U33" s="32" t="str"/>
    </x:row>
    <x:row r="34" ht="42" customHeight="1">
      <x:c r="A34" s="32" t="str">
        <x:v>1 кв проекты 2025 rbi.xlsx::проекты 1 кв 2025::9</x:v>
      </x:c>
      <x:c r="B34" s="32" t="str">
        <x:v>1 кв Проекты 2025_RBI.xlsx</x:v>
      </x:c>
      <x:c r="C34" s="32" t="str">
        <x:v>Проекты 1 кв 2025</x:v>
      </x:c>
      <x:c r="D34" s="32" t="n">
        <x:v>9</x:v>
      </x:c>
      <x:c r="E34" s="32" t="str">
        <x:v>VIGOR Holding ТОО</x:v>
      </x:c>
      <x:c r="F34" s="32" t="str">
        <x:v>Аудит ФО</x:v>
      </x:c>
      <x:c r="G34" s="32" t="str">
        <x:v>ТОО Russell Bedford A+ Partners</x:v>
      </x:c>
      <x:c r="H34" s="32" t="str">
        <x:v>not_found</x:v>
      </x:c>
      <x:c r="I34" s="32" t="str"/>
      <x:c r="J34" s="32" t="n">
        <x:v>0</x:v>
      </x:c>
      <x:c r="K34" s="32" t="str">
        <x:v>not_found</x:v>
      </x:c>
      <x:c r="L34" s="32" t="str">
        <x:v>1. Частная компания Unicorn Holdings Limited - услуг по проведению аудита финансовой отчетности Частной компании Unicorn Holdings Limited, за 2024 год, в соответствии с МСФО и МСА. Валюта презентации финансовой отчетности – в долларах США или в тенге [49] (a853d618-a602-42e9-8a7b-551d9680cc4f)
2. Частная компания Most Holding Limited [25] (0befb7c1-4a0f-4766-987d-412fedaf503b)
3. Частная компания Most Holding Limited [25] (80dffc8d-7742-4a18-92b3-24e0b2b7860f)
4. Частная компания Most Holding Limited [25] (3766ebf0-566d-454b-acdc-9d268d077c05)
5. Частная компания Most Holding Limited [25] (cc32d456-9c84-485a-ba01-e254b45c96f4)</x:v>
      </x:c>
      <x:c r="M34" s="32" t="str"/>
      <x:c r="N34" s="32" t="str"/>
      <x:c r="O34" s="32" t="str">
        <x:v>Шынгыс Сартаев [partner]</x:v>
      </x:c>
      <x:c r="P34" s="33" t="b">
        <x:v>0</x:v>
      </x:c>
      <x:c r="Q34" s="32" t="str">
        <x:v>create_candidate</x:v>
      </x:c>
      <x:c r="R34" s="32" t="str">
        <x:v>review_create_or_skip</x:v>
      </x:c>
      <x:c r="S34" s="32" t="str"/>
      <x:c r="T34" s="32" t="str"/>
      <x:c r="U34" s="32" t="str"/>
    </x:row>
    <x:row r="35" ht="42" customHeight="1">
      <x:c r="A35" s="32" t="str">
        <x:v>1 кв проекты 2025 rbi.xlsx::проекты 1 кв 2025::10</x:v>
      </x:c>
      <x:c r="B35" s="32" t="str">
        <x:v>1 кв Проекты 2025_RBI.xlsx</x:v>
      </x:c>
      <x:c r="C35" s="32" t="str">
        <x:v>Проекты 1 кв 2025</x:v>
      </x:c>
      <x:c r="D35" s="32" t="n">
        <x:v>10</x:v>
      </x:c>
      <x:c r="E35" s="32" t="str">
        <x:v>Taleon (Талеон) ТОО</x:v>
      </x:c>
      <x:c r="F35" s="32" t="str">
        <x:v>Аудит ФО</x:v>
      </x:c>
      <x:c r="G35" s="32" t="str">
        <x:v>ТОО Russell Bedford A+ Partners</x:v>
      </x:c>
      <x:c r="H35" s="32" t="str">
        <x:v>not_found</x:v>
      </x:c>
      <x:c r="I35" s="32" t="str"/>
      <x:c r="J35" s="32" t="n">
        <x:v>0</x:v>
      </x:c>
      <x:c r="K35" s="32" t="str">
        <x:v>not_found</x:v>
      </x:c>
      <x:c r="L35" s="32" t="str">
        <x:v>1. ТОО Taleon (Талеон [50] (f985af3f-3438-46c9-aa71-65a6bbf9b890)</x:v>
      </x:c>
      <x:c r="M35" s="32" t="str"/>
      <x:c r="N35" s="32" t="str"/>
      <x:c r="O35" s="32" t="str">
        <x:v>Шынгыс Сартаев [partner]</x:v>
      </x:c>
      <x:c r="P35" s="33" t="b">
        <x:v>0</x:v>
      </x:c>
      <x:c r="Q35" s="32" t="str">
        <x:v>create_candidate</x:v>
      </x:c>
      <x:c r="R35" s="32" t="str">
        <x:v>review_create_or_skip</x:v>
      </x:c>
      <x:c r="S35" s="32" t="str"/>
      <x:c r="T35" s="32" t="str"/>
      <x:c r="U35" s="32" t="str"/>
    </x:row>
    <x:row r="36" ht="42" customHeight="1">
      <x:c r="A36" s="32" t="str">
        <x:v>1 кв проекты 2025 rbi.xlsx::проекты 1 кв 2025::29</x:v>
      </x:c>
      <x:c r="B36" s="32" t="str">
        <x:v>1 кв Проекты 2025_RBI.xlsx</x:v>
      </x:c>
      <x:c r="C36" s="32" t="str">
        <x:v>Проекты 1 кв 2025</x:v>
      </x:c>
      <x:c r="D36" s="32" t="n">
        <x:v>29</x:v>
      </x:c>
      <x:c r="E36" s="32" t="str">
        <x:v>ТОО RUIT ALUGAL</x:v>
      </x:c>
      <x:c r="F36" s="32" t="str">
        <x:v>Аудит ФО</x:v>
      </x:c>
      <x:c r="G36" s="32" t="str">
        <x:v>ТОО Russell Bedford A+ Partners</x:v>
      </x:c>
      <x:c r="H36" s="32" t="str">
        <x:v>not_found</x:v>
      </x:c>
      <x:c r="I36" s="32" t="str"/>
      <x:c r="J36" s="32" t="n">
        <x:v>0</x:v>
      </x:c>
      <x:c r="K36" s="32" t="str">
        <x:v>not_found</x:v>
      </x:c>
      <x:c r="L36" s="32" t="str"/>
      <x:c r="M36" s="32" t="str"/>
      <x:c r="N36" s="32" t="str"/>
      <x:c r="O36" s="32" t="str">
        <x:v>Арнабеков Ерлан [partner]</x:v>
      </x:c>
      <x:c r="P36" s="33" t="b">
        <x:v>0</x:v>
      </x:c>
      <x:c r="Q36" s="32" t="str">
        <x:v>create_candidate</x:v>
      </x:c>
      <x:c r="R36" s="32" t="str">
        <x:v>review_create_or_skip</x:v>
      </x:c>
      <x:c r="S36" s="32" t="str"/>
      <x:c r="T36" s="32" t="str"/>
      <x:c r="U36" s="32" t="str"/>
    </x:row>
    <x:row r="37" ht="42" customHeight="1">
      <x:c r="A37" s="32" t="str">
        <x:v>1 кв проекты 2025 rbi.xlsx::проекты 1 кв 2025::41</x:v>
      </x:c>
      <x:c r="B37" s="32" t="str">
        <x:v>1 кв Проекты 2025_RBI.xlsx</x:v>
      </x:c>
      <x:c r="C37" s="32" t="str">
        <x:v>Проекты 1 кв 2025</x:v>
      </x:c>
      <x:c r="D37" s="32" t="n">
        <x:v>41</x:v>
      </x:c>
      <x:c r="E37" s="32" t="str">
        <x:v>ТОО КАЭС</x:v>
      </x:c>
      <x:c r="F37" s="32" t="str">
        <x:v>Аудит ФО</x:v>
      </x:c>
      <x:c r="G37" s="32" t="str">
        <x:v>ТОО Russell Bedford A+ Partners</x:v>
      </x:c>
      <x:c r="H37" s="32" t="str">
        <x:v>not_found</x:v>
      </x:c>
      <x:c r="I37" s="32" t="str"/>
      <x:c r="J37" s="32" t="n">
        <x:v>0</x:v>
      </x:c>
      <x:c r="K37" s="32" t="str">
        <x:v>not_found</x:v>
      </x:c>
      <x:c r="L37" s="32" t="str"/>
      <x:c r="M37" s="32" t="str"/>
      <x:c r="N37" s="32" t="str"/>
      <x:c r="O37" s="32" t="str">
        <x:v>Шынгыс Сартаев [partner]</x:v>
      </x:c>
      <x:c r="P37" s="33" t="b">
        <x:v>0</x:v>
      </x:c>
      <x:c r="Q37" s="32" t="str">
        <x:v>create_candidate</x:v>
      </x:c>
      <x:c r="R37" s="32" t="str">
        <x:v>review_create_or_skip</x:v>
      </x:c>
      <x:c r="S37" s="32" t="str"/>
      <x:c r="T37" s="32" t="str"/>
      <x:c r="U37" s="32" t="str"/>
    </x:row>
    <x:row r="38" ht="42" customHeight="1">
      <x:c r="A38" s="32" t="str">
        <x:v>1 кв проекты 2025 rbi.xlsx::проекты 1 кв 2025::58</x:v>
      </x:c>
      <x:c r="B38" s="32" t="str">
        <x:v>1 кв Проекты 2025_RBI.xlsx</x:v>
      </x:c>
      <x:c r="C38" s="32" t="str">
        <x:v>Проекты 1 кв 2025</x:v>
      </x:c>
      <x:c r="D38" s="32" t="n">
        <x:v>58</x:v>
      </x:c>
      <x:c r="E38" s="32" t="str">
        <x:v>ТОО Galaxy Extrusions</x:v>
      </x:c>
      <x:c r="F38" s="32" t="str">
        <x:v>Аудит ФО</x:v>
      </x:c>
      <x:c r="G38" s="32" t="str">
        <x:v>ТОО Russell Bedford A+ Partners</x:v>
      </x:c>
      <x:c r="H38" s="32" t="str">
        <x:v>not_found</x:v>
      </x:c>
      <x:c r="I38" s="32" t="str"/>
      <x:c r="J38" s="32" t="n">
        <x:v>0</x:v>
      </x:c>
      <x:c r="K38" s="32" t="str">
        <x:v>not_found</x:v>
      </x:c>
      <x:c r="L38" s="32" t="str"/>
      <x:c r="M38" s="32" t="str"/>
      <x:c r="N38" s="32" t="str"/>
      <x:c r="O38" s="32" t="str">
        <x:v>Арнабеков Ерлан [partner]</x:v>
      </x:c>
      <x:c r="P38" s="33" t="b">
        <x:v>0</x:v>
      </x:c>
      <x:c r="Q38" s="32" t="str">
        <x:v>create_candidate</x:v>
      </x:c>
      <x:c r="R38" s="32" t="str">
        <x:v>review_create_or_skip</x:v>
      </x:c>
      <x:c r="S38" s="32" t="str"/>
      <x:c r="T38" s="32" t="str"/>
      <x:c r="U38" s="32" t="str"/>
    </x:row>
    <x:row r="39" ht="42" customHeight="1">
      <x:c r="A39" s="32" t="str">
        <x:v>1 кв проекты 2025 rbi.xlsx::проекты 1 кв 2025::69</x:v>
      </x:c>
      <x:c r="B39" s="32" t="str">
        <x:v>1 кв Проекты 2025_RBI.xlsx</x:v>
      </x:c>
      <x:c r="C39" s="32" t="str">
        <x:v>Проекты 1 кв 2025</x:v>
      </x:c>
      <x:c r="D39" s="32" t="n">
        <x:v>69</x:v>
      </x:c>
      <x:c r="E39" s="32" t="str">
        <x:v>AIFC Green Finance Centre Ltd.</x:v>
      </x:c>
      <x:c r="F39" s="32" t="str">
        <x:v>Аудит ФО</x:v>
      </x:c>
      <x:c r="G39" s="32" t="str">
        <x:v>ТОО Russell Bedford A+ Partners</x:v>
      </x:c>
      <x:c r="H39" s="32" t="str">
        <x:v>not_found</x:v>
      </x:c>
      <x:c r="I39" s="32" t="str"/>
      <x:c r="J39" s="32" t="n">
        <x:v>0</x:v>
      </x:c>
      <x:c r="K39" s="32" t="str">
        <x:v>conflict</x:v>
      </x:c>
      <x:c r="L39" s="32" t="str">
        <x:v>1. Частная компания EA Group Finance Ltd - услуг по проведению аудита финансовой отчетности Частной компании EA Group Finance Ltd., за 2025 год, в соответствии с МСФО и МСА. Валюта презентации финансовой отчетности – в долларах США или в тенге  [79] (1814aa5f-33ff-436e-b228-1916e7456648)
2. Компания специального назначения Tolqyn SPC Ltd. - услуг по проведению аудита финансовой отчетности Компании специального назначения Tolqyn SPC Ltd, за 2025 год, в соответствии с МСФО и МСА. Валюта презентации финансовой отчетности – в долларах США или в тенге  [24] (9890ecb1-68e3-457d-acc1-060a5f1a1294)
3. 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 [24] (03813a13-459e-4d7f-ac17-8e2d050faccd)
4. ТОО «TURKISTAN SILK WAY HARBOR» - услуги по проведению аудита консолидированной финансовой отчетности Частной Компании Tethys International Touristic Hub Ltd. (включая дочерние компании), подготовленной в соответствии с международными стандартами финансовой отчетности за год, завершающийся 31 декабря 2025 года. Валюта презентации финансовой отчетности – тенге [24] (19192538-8c62-4471-899c-8a54877508ae)
5. ТОО Микрофинансовая организация InvesCore Finance - 1.1 Аудит финансовой отчетности ТОО «Микрофинансовая организация МФО InvesCore Finance» за 2025 год, подготовленной в соответствии с Международными стандартами финансовой отчетности, (далее – Услуги);
1.2	Проведение онлайн-встречи с материнской компанией (Комитет по аудиту) и возможной встречи с групповым аудитором для обсуждения аудиторского отчёта, не более 8 (восьми) часов
 [24] (56340057-1683-4513-a067-04fa7f8efe18)</x:v>
      </x:c>
      <x:c r="M39" s="32" t="str"/>
      <x:c r="N39" s="32" t="str"/>
      <x:c r="O39" s="32" t="str">
        <x:v>Шынгыс Сартаев [partner]</x:v>
      </x:c>
      <x:c r="P39" s="33" t="b">
        <x:v>0</x:v>
      </x:c>
      <x:c r="Q39" s="32" t="str">
        <x:v>create_candidate</x:v>
      </x:c>
      <x:c r="R39" s="32" t="str">
        <x:v>review_create_or_skip</x:v>
      </x:c>
      <x:c r="S39" s="32" t="str"/>
      <x:c r="T39" s="32" t="str"/>
      <x:c r="U39" s="32" t="str"/>
    </x:row>
    <x:row r="40" ht="42" customHeight="1">
      <x:c r="A40" s="32" t="str">
        <x:v>1 кв проекты 2025 rbi.xlsx::проекты 1 кв 2025::73</x:v>
      </x:c>
      <x:c r="B40" s="32" t="str">
        <x:v>1 кв Проекты 2025_RBI.xlsx</x:v>
      </x:c>
      <x:c r="C40" s="32" t="str">
        <x:v>Проекты 1 кв 2025</x:v>
      </x:c>
      <x:c r="D40" s="32" t="n">
        <x:v>73</x:v>
      </x:c>
      <x:c r="E40" s="32" t="str">
        <x:v>Микрофинансовая организация Алматы</x:v>
      </x:c>
      <x:c r="F40" s="32" t="str"/>
      <x:c r="G40" s="32" t="str"/>
      <x:c r="H40" s="32" t="str">
        <x:v>not_found</x:v>
      </x:c>
      <x:c r="I40" s="32" t="str"/>
      <x:c r="J40" s="32" t="n">
        <x:v>0</x:v>
      </x:c>
      <x:c r="K40" s="32" t="str">
        <x:v>not_found</x:v>
      </x:c>
      <x:c r="L40" s="32" t="str">
        <x:v>1. ТОО «Микрофинансовая Организация «ЮНИКРЕДО» - услуг по проведению аудита финансовой отчетности ТОО «Микрофинансовая Организация «ЮНИКРЕДО за период с 1 января 2025 года по 31 декабря 2025 года, подготовленной в соответствии с Международными Стандартами Финансовой Отчетности  [33] (40772585-e08b-4502-b487-416425be8379)
2. ТОО «Микрофинансовая организация «Finbox»  [33] (c7ea58fc-03ee-4831-8523-4105f050fd2f)
3. ТОО «Микрофинансовая организация «Finbox»  [33] (4af423c5-3c6c-4701-b263-d32b92a893ca)
4. ТОО «Микрофинансовая организация «Finbox»  [33] (99da55db-2516-4284-9766-0924ff68b6a8)
5. ТОО «Микрофинансовая Организация «MOST» [33] (4b26dc77-d9c7-489c-b375-2c7b7f5de62e)</x:v>
      </x:c>
      <x:c r="M40" s="32" t="str"/>
      <x:c r="N40" s="32" t="str"/>
      <x:c r="O40" s="32" t="str">
        <x:v>Жаркымбекова Камиля [assistant_1]</x:v>
      </x:c>
      <x:c r="P40" s="33" t="b">
        <x:v>0</x:v>
      </x:c>
      <x:c r="Q40" s="32" t="str">
        <x:v>create_candidate</x:v>
      </x:c>
      <x:c r="R40" s="32" t="str">
        <x:v>review_create_or_skip</x:v>
      </x:c>
      <x:c r="S40" s="32" t="str"/>
      <x:c r="T40" s="32" t="str"/>
      <x:c r="U40" s="32" t="str"/>
    </x:row>
    <x:row r="41" ht="42" customHeight="1">
      <x:c r="A41" s="32" t="str">
        <x:v>1 кв проекты 2025 rbi.xlsx::проекты 1 кв 2025::76</x:v>
      </x:c>
      <x:c r="B41" s="32" t="str">
        <x:v>1 кв Проекты 2025_RBI.xlsx</x:v>
      </x:c>
      <x:c r="C41" s="32" t="str">
        <x:v>Проекты 1 кв 2025</x:v>
      </x:c>
      <x:c r="D41" s="32" t="n">
        <x:v>76</x:v>
      </x:c>
      <x:c r="E41" s="32" t="str">
        <x:v>ТОО Предприятие капитального строительства акимата г. Алматы</x:v>
      </x:c>
      <x:c r="F41" s="32" t="str"/>
      <x:c r="G41" s="32" t="str"/>
      <x:c r="H41" s="32" t="str">
        <x:v>not_found</x:v>
      </x:c>
      <x:c r="I41" s="32" t="str"/>
      <x:c r="J41" s="32" t="n">
        <x:v>0</x:v>
      </x:c>
      <x:c r="K41" s="32" t="str">
        <x:v>not_found</x:v>
      </x:c>
      <x:c r="L41" s="32" t="str">
        <x:v>1. ТОО KONE KAZAKHSTAN (КОНЕ КАЗАХСТАН) - услуги по проведению инвентаризации запасов и основных средств офиса Заказчика в г. Алматы;
 [17] (0cd36fb4-e3e5-44fe-8d44-0e3b15a89336)</x:v>
      </x:c>
      <x:c r="M41" s="32" t="str"/>
      <x:c r="N41" s="32" t="str"/>
      <x:c r="O41" s="32" t="str">
        <x:v>Медекенов Марат Макунович [manager_1]
Мухашев Куаныш Кудашулы [partner]</x:v>
      </x:c>
      <x:c r="P41" s="33" t="b">
        <x:v>0</x:v>
      </x:c>
      <x:c r="Q41" s="32" t="str">
        <x:v>create_candidate</x:v>
      </x:c>
      <x:c r="R41" s="32" t="str">
        <x:v>review_create_or_skip</x:v>
      </x:c>
      <x:c r="S41" s="32" t="str"/>
      <x:c r="T41" s="32" t="str"/>
      <x:c r="U41" s="32" t="str"/>
    </x:row>
    <x:row r="42" ht="42" customHeight="1">
      <x:c r="A42" s="32" t="str">
        <x:v>1 кв проекты 2025 rbi.xlsx::проекты 1 кв 2025::78</x:v>
      </x:c>
      <x:c r="B42" s="32" t="str">
        <x:v>1 кв Проекты 2025_RBI.xlsx</x:v>
      </x:c>
      <x:c r="C42" s="32" t="str">
        <x:v>Проекты 1 кв 2025</x:v>
      </x:c>
      <x:c r="D42" s="32" t="n">
        <x:v>78</x:v>
      </x:c>
      <x:c r="E42" s="32" t="str">
        <x:v>TechHubLimited</x:v>
      </x:c>
      <x:c r="F42" s="32" t="str">
        <x:v>Аудит ФО</x:v>
      </x:c>
      <x:c r="G42" s="32" t="str">
        <x:v>ТОО Russell Bedford A+ Partners</x:v>
      </x:c>
      <x:c r="H42" s="32" t="str">
        <x:v>not_found</x:v>
      </x:c>
      <x:c r="I42" s="32" t="str"/>
      <x:c r="J42" s="32" t="n">
        <x:v>0</x:v>
      </x:c>
      <x:c r="K42" s="32" t="str">
        <x:v>not_found</x:v>
      </x:c>
      <x:c r="L42" s="32" t="str"/>
      <x:c r="M42" s="32" t="str"/>
      <x:c r="N42" s="32" t="str"/>
      <x:c r="O42" s="32" t="str">
        <x:v>Шынгыс Сартаев [partner]
Жаркымбекова Камиля [assistant_1]
Айдана Иргебаева [assistant_1]</x:v>
      </x:c>
      <x:c r="P42" s="33" t="b">
        <x:v>0</x:v>
      </x:c>
      <x:c r="Q42" s="32" t="str">
        <x:v>create_candidate</x:v>
      </x:c>
      <x:c r="R42" s="32" t="str">
        <x:v>review_create_or_skip</x:v>
      </x:c>
      <x:c r="S42" s="32" t="str"/>
      <x:c r="T42" s="32" t="str"/>
      <x:c r="U42" s="32" t="str"/>
    </x:row>
    <x:row r="43" ht="42" customHeight="1">
      <x:c r="A43" s="32" t="str">
        <x:v>1 кв проекты 2025 rbi.xlsx::проекты 1 кв 2025::86</x:v>
      </x:c>
      <x:c r="B43" s="32" t="str">
        <x:v>1 кв Проекты 2025_RBI.xlsx</x:v>
      </x:c>
      <x:c r="C43" s="32" t="str">
        <x:v>Проекты 1 кв 2025</x:v>
      </x:c>
      <x:c r="D43" s="32" t="n">
        <x:v>86</x:v>
      </x:c>
      <x:c r="E43" s="32" t="str">
        <x:v>Дирекция спортивных сооружений</x:v>
      </x:c>
      <x:c r="F43" s="32" t="str">
        <x:v>Аудит ФО</x:v>
      </x:c>
      <x:c r="G43" s="32" t="str">
        <x:v>ТОО Russell Bedford A+ Partners</x:v>
      </x:c>
      <x:c r="H43" s="32" t="str">
        <x:v>not_found</x:v>
      </x:c>
      <x:c r="I43" s="32" t="str"/>
      <x:c r="J43" s="32" t="n">
        <x:v>0</x:v>
      </x:c>
      <x:c r="K43" s="32" t="str">
        <x:v>not_found</x:v>
      </x:c>
      <x:c r="L43" s="32" t="str"/>
      <x:c r="M43" s="32" t="str"/>
      <x:c r="N43" s="32" t="str"/>
      <x:c r="O43" s="32" t="str">
        <x:v>Сауле Бадамбаева [partner]</x:v>
      </x:c>
      <x:c r="P43" s="33" t="b">
        <x:v>0</x:v>
      </x:c>
      <x:c r="Q43" s="32" t="str">
        <x:v>create_candidate</x:v>
      </x:c>
      <x:c r="R43" s="32" t="str">
        <x:v>review_create_or_skip</x:v>
      </x:c>
      <x:c r="S43" s="32" t="str"/>
      <x:c r="T43" s="32" t="str"/>
      <x:c r="U43" s="32" t="str"/>
    </x:row>
    <x:row r="44" ht="42" customHeight="1">
      <x:c r="A44" s="32" t="str">
        <x:v>1 кв проекты 2025 rbi.xlsx::проекты 1 кв 2025::101</x:v>
      </x:c>
      <x:c r="B44" s="32" t="str">
        <x:v>1 кв Проекты 2025_RBI.xlsx</x:v>
      </x:c>
      <x:c r="C44" s="32" t="str">
        <x:v>Проекты 1 кв 2025</x:v>
      </x:c>
      <x:c r="D44" s="32" t="n">
        <x:v>101</x:v>
      </x:c>
      <x:c r="E44" s="32" t="str">
        <x:v>ТОО Эталон Люкс</x:v>
      </x:c>
      <x:c r="F44" s="32" t="str">
        <x:v>Аудит ФО</x:v>
      </x:c>
      <x:c r="G44" s="32" t="str">
        <x:v>ТОО Russell Bedford A+ Partners</x:v>
      </x:c>
      <x:c r="H44" s="32" t="str">
        <x:v>not_found</x:v>
      </x:c>
      <x:c r="I44" s="32" t="str"/>
      <x:c r="J44" s="32" t="n">
        <x:v>0</x:v>
      </x:c>
      <x:c r="K44" s="32" t="str">
        <x:v>not_found</x:v>
      </x:c>
      <x:c r="L44" s="32" t="str">
        <x:v>1. ТОО «Люкс Недвижимости» [25] (436f859f-28e2-491e-b200-bdf7bfe85350)
2. ТОО«Люкс Недвижимости» [25] (a327eb82-143c-4a74-8f87-98229e9afaa6)</x:v>
      </x:c>
      <x:c r="M44" s="32" t="str"/>
      <x:c r="N44" s="32" t="str"/>
      <x:c r="O44" s="32" t="str">
        <x:v>Кудайбергенова Шолпанай [partner]</x:v>
      </x:c>
      <x:c r="P44" s="33" t="b">
        <x:v>0</x:v>
      </x:c>
      <x:c r="Q44" s="32" t="str">
        <x:v>create_candidate</x:v>
      </x:c>
      <x:c r="R44" s="32" t="str">
        <x:v>review_create_or_skip</x:v>
      </x:c>
      <x:c r="S44" s="32" t="str"/>
      <x:c r="T44" s="32" t="str"/>
      <x:c r="U44" s="32" t="str"/>
    </x:row>
    <x:row r="45" ht="42" customHeight="1">
      <x:c r="A45" s="32" t="str">
        <x:v>1 кв проекты 2025 rbi.xlsx::проекты 1 кв 2025::104</x:v>
      </x:c>
      <x:c r="B45" s="32" t="str">
        <x:v>1 кв Проекты 2025_RBI.xlsx</x:v>
      </x:c>
      <x:c r="C45" s="32" t="str">
        <x:v>Проекты 1 кв 2025</x:v>
      </x:c>
      <x:c r="D45" s="32" t="n">
        <x:v>104</x:v>
      </x:c>
      <x:c r="E45" s="32" t="str">
        <x:v>JM Capital</x:v>
      </x:c>
      <x:c r="F45" s="32" t="str">
        <x:v>Аудит ФО</x:v>
      </x:c>
      <x:c r="G45" s="32" t="str">
        <x:v>ТОО Russell Bedford A+ Partners</x:v>
      </x:c>
      <x:c r="H45" s="32" t="str">
        <x:v>not_found</x:v>
      </x:c>
      <x:c r="I45" s="32" t="str"/>
      <x:c r="J45" s="32" t="n">
        <x:v>0</x:v>
      </x:c>
      <x:c r="K45" s="32" t="str">
        <x:v>conflict</x:v>
      </x:c>
      <x:c r="L45" s="32" t="str">
        <x:v>1. Акционерное общество «Amaranth Capital» - услуг по проведению аудита финансовой отчетности АО «Amaranth Capital» за период с 1 января 2025 года по 31 декабря 2025 года, подготовленной в соответствии с Международными Стандартами Финансовой Отчетности  [84] (646d721c-fc3f-414c-9853-cef1cce8ef47)
2. Партнерство с ограниченной ответственностью Stonehedge Vitis Capital - услуг по проведению аудита финансовой отчетности Партнерства с ограниченной ответственностью Stonehedge Vitis Capital, за 2025 год, в соответствии с МСФО и МСА. Валюта презентации финансовой отчетности – в долларах США или в тенге  [84] (d154fb4b-49c6-4b58-b5c7-ba64d3d3f9e8)
3. Частная компания «Quantum Capital Ltd.» - услуг по проведению аудита финансовой отчетности Частной компании Quantum Capital Ltd, за 2025 год (далее – «Услуги») в соответствии с МСФО и МСА [84] (bd2d51e2-7338-45e8-9c63-12c01853025e)
4. Частная компания открытого инвестиционного типа Stonebridge Capital Private Equity Fund OEIC Ltd. - услуг по проведению аудита финансовой отчетности Частной компании открытого инвестиционного типа Stonebridge Capital Private Equity Fund OEIC Ltd, за 2025 год, в соответствии с МСФО и МСА. Валюта презентации финансовой отчетности – в долларах США или в тенге  [84] (72233969-ac55-4fa4-a03b-09ee53797ebe)
5. Частная компания ASPAN Capital Limited - услуг по проведению аудита финансовой отчетности Частной компании ASPAN Capital Limited за 2025 год, подготовленной в соответствии с МСФО и МСА. Валюта презентации финансовой отчетности – в долларах США или в тенге [84] (b9e57fc5-bc9a-4ea7-b2fd-cfa0b41e3e09)</x:v>
      </x:c>
      <x:c r="M45" s="32" t="str"/>
      <x:c r="N45" s="32" t="str">
        <x:v>Шынгыс Сартаев [partner]</x:v>
      </x:c>
      <x:c r="O45" s="32" t="str">
        <x:v>Кудайбергенова Шолпанай [partner]
Кенжекулов Адилжан Абдикалыкович [partner]</x:v>
      </x:c>
      <x:c r="P45" s="33" t="b">
        <x:v>1</x:v>
      </x:c>
      <x:c r="Q45" s="32" t="str">
        <x:v>create_candidate</x:v>
      </x:c>
      <x:c r="R45" s="32" t="str">
        <x:v>review_create_or_skip</x:v>
      </x:c>
      <x:c r="S45" s="32" t="str"/>
      <x:c r="T45" s="32" t="str"/>
      <x:c r="U45" s="32" t="str"/>
    </x:row>
    <x:row r="46" ht="42" customHeight="1">
      <x:c r="A46" s="32" t="str">
        <x:v>1 кв проекты 2025 rbi.xlsx::проекты 1 кв 2025::105</x:v>
      </x:c>
      <x:c r="B46" s="32" t="str">
        <x:v>1 кв Проекты 2025_RBI.xlsx</x:v>
      </x:c>
      <x:c r="C46" s="32" t="str">
        <x:v>Проекты 1 кв 2025</x:v>
      </x:c>
      <x:c r="D46" s="32" t="n">
        <x:v>105</x:v>
      </x:c>
      <x:c r="E46" s="32" t="str">
        <x:v>ТОО Едиль Сауда Орталыгы</x:v>
      </x:c>
      <x:c r="F46" s="32" t="str">
        <x:v>Аудит ФО</x:v>
      </x:c>
      <x:c r="G46" s="32" t="str">
        <x:v>ТОО Russell Bedford A+ Partners</x:v>
      </x:c>
      <x:c r="H46" s="32" t="str">
        <x:v>not_found</x:v>
      </x:c>
      <x:c r="I46" s="32" t="str"/>
      <x:c r="J46" s="32" t="n">
        <x:v>0</x:v>
      </x:c>
      <x:c r="K46" s="32" t="str">
        <x:v>not_found</x:v>
      </x:c>
      <x:c r="L46" s="32" t="str"/>
      <x:c r="M46" s="32" t="str"/>
      <x:c r="N46" s="32" t="str"/>
      <x:c r="O46" s="32" t="str">
        <x:v>Кудайбергенова Шолпанай [partner]
Галымжанов Нурхан Нурланович [manager_3]</x:v>
      </x:c>
      <x:c r="P46" s="33" t="b">
        <x:v>0</x:v>
      </x:c>
      <x:c r="Q46" s="32" t="str">
        <x:v>create_candidate</x:v>
      </x:c>
      <x:c r="R46" s="32" t="str">
        <x:v>review_create_or_skip</x:v>
      </x:c>
      <x:c r="S46" s="32" t="str"/>
      <x:c r="T46" s="32" t="str"/>
      <x:c r="U46" s="32" t="str"/>
    </x:row>
    <x:row r="47" ht="42" customHeight="1">
      <x:c r="A47" s="32" t="str">
        <x:v>1 кв проекты 2025 rbi.xlsx::проекты 1 кв 2025::108</x:v>
      </x:c>
      <x:c r="B47" s="32" t="str">
        <x:v>1 кв Проекты 2025_RBI.xlsx</x:v>
      </x:c>
      <x:c r="C47" s="32" t="str">
        <x:v>Проекты 1 кв 2025</x:v>
      </x:c>
      <x:c r="D47" s="32" t="n">
        <x:v>108</x:v>
      </x:c>
      <x:c r="E47" s="32" t="str">
        <x:v>ТОО Serpin - 2030</x:v>
      </x:c>
      <x:c r="F47" s="32" t="str">
        <x:v>Аудит ФО</x:v>
      </x:c>
      <x:c r="G47" s="32" t="str">
        <x:v>ТОО Russell Bedford A+ Partners</x:v>
      </x:c>
      <x:c r="H47" s="32" t="str">
        <x:v>not_found</x:v>
      </x:c>
      <x:c r="I47" s="32" t="str"/>
      <x:c r="J47" s="32" t="n">
        <x:v>0</x:v>
      </x:c>
      <x:c r="K47" s="32" t="str">
        <x:v>not_found</x:v>
      </x:c>
      <x:c r="L47" s="32" t="str"/>
      <x:c r="M47" s="32" t="str"/>
      <x:c r="N47" s="32" t="str"/>
      <x:c r="O47" s="32" t="str">
        <x:v>Кудайбергенова Шолпанай [partner]</x:v>
      </x:c>
      <x:c r="P47" s="33" t="b">
        <x:v>0</x:v>
      </x:c>
      <x:c r="Q47" s="32" t="str">
        <x:v>create_candidate</x:v>
      </x:c>
      <x:c r="R47" s="32" t="str">
        <x:v>review_create_or_skip</x:v>
      </x:c>
      <x:c r="S47" s="32" t="str"/>
      <x:c r="T47" s="32" t="str"/>
      <x:c r="U47" s="32" t="str"/>
    </x:row>
    <x:row r="48" ht="42" customHeight="1">
      <x:c r="A48" s="32" t="str">
        <x:v>1 кв проекты 2025 rbi.xlsx::проекты 1 кв 2025::110</x:v>
      </x:c>
      <x:c r="B48" s="32" t="str">
        <x:v>1 кв Проекты 2025_RBI.xlsx</x:v>
      </x:c>
      <x:c r="C48" s="32" t="str">
        <x:v>Проекты 1 кв 2025</x:v>
      </x:c>
      <x:c r="D48" s="32" t="n">
        <x:v>110</x:v>
      </x:c>
      <x:c r="E48" s="32" t="str">
        <x:v>ТОО Atyrau Build Service</x:v>
      </x:c>
      <x:c r="F48" s="32" t="str">
        <x:v>Аудит ФО</x:v>
      </x:c>
      <x:c r="G48" s="32" t="str">
        <x:v>ТОО Russell Bedford A+ Partners</x:v>
      </x:c>
      <x:c r="H48" s="32" t="str">
        <x:v>not_found</x:v>
      </x:c>
      <x:c r="I48" s="32" t="str"/>
      <x:c r="J48" s="32" t="n">
        <x:v>0</x:v>
      </x:c>
      <x:c r="K48" s="32" t="str">
        <x:v>not_found</x:v>
      </x:c>
      <x:c r="L48" s="32" t="str">
        <x:v>1. Amicorp Fund Services (AIFC) Limited  - услуг по проведению аудита финансовой отчетности Amicorp Fund Services (AIFC) Limited, за 2025 год, в соответствии с МСФО и МСА. [31] (ae1a1c49-10a7-4046-860d-357f95c9a2e6)</x:v>
      </x:c>
      <x:c r="M48" s="32" t="str"/>
      <x:c r="N48" s="32" t="str"/>
      <x:c r="O48" s="32" t="str">
        <x:v>Кудайбергенова Шолпанай [partner]</x:v>
      </x:c>
      <x:c r="P48" s="33" t="b">
        <x:v>0</x:v>
      </x:c>
      <x:c r="Q48" s="32" t="str">
        <x:v>create_candidate</x:v>
      </x:c>
      <x:c r="R48" s="32" t="str">
        <x:v>review_create_or_skip</x:v>
      </x:c>
      <x:c r="S48" s="32" t="str"/>
      <x:c r="T48" s="32" t="str"/>
      <x:c r="U48" s="32" t="str"/>
    </x:row>
    <x:row r="49" ht="42" customHeight="1">
      <x:c r="A49" s="32" t="str">
        <x:v>1 кв проекты 2025 rbi.xlsx::проекты 1 кв 2025::112</x:v>
      </x:c>
      <x:c r="B49" s="32" t="str">
        <x:v>1 кв Проекты 2025_RBI.xlsx</x:v>
      </x:c>
      <x:c r="C49" s="32" t="str">
        <x:v>Проекты 1 кв 2025</x:v>
      </x:c>
      <x:c r="D49" s="32" t="n">
        <x:v>112</x:v>
      </x:c>
      <x:c r="E49" s="32" t="str">
        <x:v>ТОО New Ascent</x:v>
      </x:c>
      <x:c r="F49" s="32" t="str">
        <x:v>Аудит ФО</x:v>
      </x:c>
      <x:c r="G49" s="32" t="str">
        <x:v>ТОО Russell Bedford A+ Partners</x:v>
      </x:c>
      <x:c r="H49" s="32" t="str">
        <x:v>not_found</x:v>
      </x:c>
      <x:c r="I49" s="32" t="str"/>
      <x:c r="J49" s="32" t="n">
        <x:v>0</x:v>
      </x:c>
      <x:c r="K49" s="32" t="str">
        <x:v>not_found</x:v>
      </x:c>
      <x:c r="L49" s="32" t="str">
        <x:v>1. Newdawn in Lesotho - Обзор качества взаимодействия - Первый национальный банк Lesotho Limited [25] (641585ab-b9e0-4e0d-8047-d7cddd52644a)</x:v>
      </x:c>
      <x:c r="M49" s="32" t="str"/>
      <x:c r="N49" s="32" t="str"/>
      <x:c r="O49" s="32" t="str">
        <x:v>Кудайбергенова Шолпанай [partner]</x:v>
      </x:c>
      <x:c r="P49" s="33" t="b">
        <x:v>0</x:v>
      </x:c>
      <x:c r="Q49" s="32" t="str">
        <x:v>create_candidate</x:v>
      </x:c>
      <x:c r="R49" s="32" t="str">
        <x:v>review_create_or_skip</x:v>
      </x:c>
      <x:c r="S49" s="32" t="str"/>
      <x:c r="T49" s="32" t="str"/>
      <x:c r="U49" s="32" t="str"/>
    </x:row>
    <x:row r="50" ht="42" customHeight="1">
      <x:c r="A50" s="32" t="str">
        <x:v>1 кв проекты 2025 rbi.xlsx::консульт услуги 2025 1 кв::2</x:v>
      </x:c>
      <x:c r="B50" s="32" t="str">
        <x:v>1 кв Проекты 2025_RBI.xlsx</x:v>
      </x:c>
      <x:c r="C50" s="32" t="str">
        <x:v>консульт услуги 2025 1 кв</x:v>
      </x:c>
      <x:c r="D50" s="32" t="n">
        <x:v>2</x:v>
      </x:c>
      <x:c r="E50" s="32" t="str">
        <x:v>Инвестиционный проект " Модернизация гидроагрегата №4 Усть - Каменогорской ГЭС"</x:v>
      </x:c>
      <x:c r="F50" s="32" t="str"/>
      <x:c r="G50" s="32" t="str">
        <x:v>ТОО МАК Russell A+ Partners</x:v>
      </x:c>
      <x:c r="H50" s="32" t="str">
        <x:v>not_found</x:v>
      </x:c>
      <x:c r="I50" s="32" t="str"/>
      <x:c r="J50" s="32" t="n">
        <x:v>0</x:v>
      </x:c>
      <x:c r="K50" s="32" t="str">
        <x:v>not_found</x:v>
      </x:c>
      <x:c r="L50" s="32" t="str">
        <x:v>1. ТОО АЭС Усть-Каменогорская ГЭС [13] (e3be8a8e-8cd0-4551-9579-22091f09a279)</x:v>
      </x:c>
      <x:c r="M50" s="32" t="str"/>
      <x:c r="N50" s="32" t="str"/>
      <x:c r="O50" s="32" t="str">
        <x:v>Алдонгаров Газиз Сериккалиевич [manager_1]</x:v>
      </x:c>
      <x:c r="P50" s="33" t="b">
        <x:v>0</x:v>
      </x:c>
      <x:c r="Q50" s="32" t="str">
        <x:v>create_candidate</x:v>
      </x:c>
      <x:c r="R50" s="32" t="str">
        <x:v>review_create_or_skip</x:v>
      </x:c>
      <x:c r="S50" s="32" t="str"/>
      <x:c r="T50" s="32" t="str"/>
      <x:c r="U50" s="32" t="str"/>
    </x:row>
    <x:row r="51" ht="42" customHeight="1">
      <x:c r="A51" s="32" t="str">
        <x:v>1 кв проекты 2025 rbi.xlsx::консульт услуги 2025 1 кв::6</x:v>
      </x:c>
      <x:c r="B51" s="32" t="str">
        <x:v>1 кв Проекты 2025_RBI.xlsx</x:v>
      </x:c>
      <x:c r="C51" s="32" t="str">
        <x:v>консульт услуги 2025 1 кв</x:v>
      </x:c>
      <x:c r="D51" s="32" t="n">
        <x:v>6</x:v>
      </x:c>
      <x:c r="E51" s="32" t="str">
        <x:v>ТОО Улмус Бесшокы</x:v>
      </x:c>
      <x:c r="F51" s="32" t="str">
        <x:v>Отчет по Инициативе прозрачности деятельности добывающих отраслей ( ИПДО)</x:v>
      </x:c>
      <x:c r="G51" s="32" t="str">
        <x:v>ТОО МАК Russell A+ Partners</x:v>
      </x:c>
      <x:c r="H51" s="32" t="str">
        <x:v>not_found</x:v>
      </x:c>
      <x:c r="I51" s="32" t="str"/>
      <x:c r="J51" s="32" t="n">
        <x:v>0</x:v>
      </x:c>
      <x:c r="K51" s="32" t="str">
        <x:v>not_found</x:v>
      </x:c>
      <x:c r="L51" s="32" t="str"/>
      <x:c r="M51" s="32" t="str"/>
      <x:c r="N51" s="32" t="str"/>
      <x:c r="O51" s="32" t="str">
        <x:v>Сауле Бадамбаева [partner]
Каби Светлана [manager_1]</x:v>
      </x:c>
      <x:c r="P51" s="33" t="b">
        <x:v>0</x:v>
      </x:c>
      <x:c r="Q51" s="32" t="str">
        <x:v>create_candidate</x:v>
      </x:c>
      <x:c r="R51" s="32" t="str">
        <x:v>review_create_or_skip</x:v>
      </x:c>
      <x:c r="S51" s="32" t="str"/>
      <x:c r="T51" s="32" t="str"/>
      <x:c r="U51" s="32" t="str"/>
    </x:row>
    <x:row r="52" ht="42" customHeight="1">
      <x:c r="A52" s="32" t="str">
        <x:v>1 кв проекты 2026 rbi.xlsx::проекты 1 кв 2026::32</x:v>
      </x:c>
      <x:c r="B52" s="32" t="str">
        <x:v>1 кв Проекты 2026_RBI.xlsx</x:v>
      </x:c>
      <x:c r="C52" s="32" t="str">
        <x:v>Проекты 1 кв 2026</x:v>
      </x:c>
      <x:c r="D52" s="32" t="n">
        <x:v>32</x:v>
      </x:c>
      <x:c r="E52" s="32" t="str">
        <x:v>ТОО КАЭС</x:v>
      </x:c>
      <x:c r="F52" s="32" t="str"/>
      <x:c r="G52" s="32" t="str"/>
      <x:c r="H52" s="32" t="str">
        <x:v>not_found</x:v>
      </x:c>
      <x:c r="I52" s="32" t="str"/>
      <x:c r="J52" s="32" t="n">
        <x:v>0</x:v>
      </x:c>
      <x:c r="K52" s="32" t="str">
        <x:v>not_found</x:v>
      </x:c>
      <x:c r="L52" s="32" t="str"/>
      <x:c r="M52" s="32" t="str"/>
      <x:c r="N52" s="32" t="str"/>
      <x:c r="O52" s="32" t="str">
        <x:v>Шынгыс Сартаев [partner]</x:v>
      </x:c>
      <x:c r="P52" s="33" t="b">
        <x:v>0</x:v>
      </x:c>
      <x:c r="Q52" s="32" t="str">
        <x:v>create_candidate</x:v>
      </x:c>
      <x:c r="R52" s="32" t="str">
        <x:v>review_create_or_skip</x:v>
      </x:c>
      <x:c r="S52" s="32" t="str"/>
      <x:c r="T52" s="32" t="str"/>
      <x:c r="U52" s="32" t="str"/>
    </x:row>
    <x:row r="53" ht="42" customHeight="1">
      <x:c r="A53" s="32" t="str">
        <x:v>1 кв проекты 2026 rbi.xlsx::консульт услуги 2026 1 кв::3</x:v>
      </x:c>
      <x:c r="B53" s="32" t="str">
        <x:v>1 кв Проекты 2026_RBI.xlsx</x:v>
      </x:c>
      <x:c r="C53" s="32" t="str">
        <x:v>консульт услуги 2026 1 кв</x:v>
      </x:c>
      <x:c r="D53" s="32" t="n">
        <x:v>3</x:v>
      </x:c>
      <x:c r="E53" s="32" t="str">
        <x:v>New Dawn Chartered Accountants</x:v>
      </x:c>
      <x:c r="F53" s="32" t="str"/>
      <x:c r="G53" s="32" t="str">
        <x:v>New Dawn Chartered Accountants</x:v>
      </x:c>
      <x:c r="H53" s="32" t="str">
        <x:v>not_found</x:v>
      </x:c>
      <x:c r="I53" s="32" t="str"/>
      <x:c r="J53" s="32" t="n">
        <x:v>0</x:v>
      </x:c>
      <x:c r="K53" s="32" t="str">
        <x:v>not_found</x:v>
      </x:c>
      <x:c r="L53" s="32" t="str">
        <x:v>1. Newdawn in Lesotho - Обзор качества взаимодействия - Первый национальный банк Lesotho Limited [25] (641585ab-b9e0-4e0d-8047-d7cddd52644a)</x:v>
      </x:c>
      <x:c r="M53" s="32" t="str"/>
      <x:c r="N53" s="32" t="str"/>
      <x:c r="O53" s="32" t="str"/>
      <x:c r="P53" s="33" t="b">
        <x:v>0</x:v>
      </x:c>
      <x:c r="Q53" s="32" t="str">
        <x:v>create_candidate</x:v>
      </x:c>
      <x:c r="R53" s="32" t="str">
        <x:v>review_create_or_skip</x:v>
      </x:c>
      <x:c r="S53" s="32" t="str"/>
      <x:c r="T53" s="32" t="str"/>
      <x:c r="U53" s="32" t="str"/>
    </x:row>
    <x:row r="54" ht="42" customHeight="1">
      <x:c r="A54" s="32" t="str">
        <x:v>2 кв проекты 2024 rbi.xlsx::проекты 2 кв 2024::3</x:v>
      </x:c>
      <x:c r="B54" s="32" t="str">
        <x:v>2 кв Проекты 2024_RBI.xlsx</x:v>
      </x:c>
      <x:c r="C54" s="32" t="str">
        <x:v>Проекты 2 кв 2024 </x:v>
      </x:c>
      <x:c r="D54" s="32" t="n">
        <x:v>3</x:v>
      </x:c>
      <x:c r="E54" s="32" t="str">
        <x:v>ТОО КАЭС</x:v>
      </x:c>
      <x:c r="F54" s="32" t="str">
        <x:v>Аудит ФО</x:v>
      </x:c>
      <x:c r="G54" s="32" t="str">
        <x:v>IAC Russell Bedford A+ Partners LLP</x:v>
      </x:c>
      <x:c r="H54" s="32" t="str">
        <x:v>not_found</x:v>
      </x:c>
      <x:c r="I54" s="32" t="str"/>
      <x:c r="J54" s="32" t="n">
        <x:v>0</x:v>
      </x:c>
      <x:c r="K54" s="32" t="str">
        <x:v>not_found</x:v>
      </x:c>
      <x:c r="L54" s="32" t="str"/>
      <x:c r="M54" s="32" t="str"/>
      <x:c r="N54" s="32" t="str"/>
      <x:c r="O54" s="32" t="str">
        <x:v>Шынгыс Сартаев [partner]
Медекенов Марат Макунович [manager_1]</x:v>
      </x:c>
      <x:c r="P54" s="33" t="b">
        <x:v>0</x:v>
      </x:c>
      <x:c r="Q54" s="32" t="str">
        <x:v>create_candidate</x:v>
      </x:c>
      <x:c r="R54" s="32" t="str">
        <x:v>review_create_or_skip</x:v>
      </x:c>
      <x:c r="S54" s="32" t="str"/>
      <x:c r="T54" s="32" t="str"/>
      <x:c r="U54" s="32" t="str"/>
    </x:row>
    <x:row r="55" ht="42" customHeight="1">
      <x:c r="A55" s="32" t="str">
        <x:v>2 кв проекты 2024 rbi.xlsx::проекты 2 кв 2024::4</x:v>
      </x:c>
      <x:c r="B55" s="32" t="str">
        <x:v>2 кв Проекты 2024_RBI.xlsx</x:v>
      </x:c>
      <x:c r="C55" s="32" t="str">
        <x:v>Проекты 2 кв 2024 </x:v>
      </x:c>
      <x:c r="D55" s="32" t="n">
        <x:v>4</x:v>
      </x:c>
      <x:c r="E55" s="32" t="str">
        <x:v>Tansar Group Joint Stock Company</x:v>
      </x:c>
      <x:c r="F55" s="32" t="str">
        <x:v>Аудит ФО</x:v>
      </x:c>
      <x:c r="G55" s="32" t="str">
        <x:v>IAC Russell Bedford A+ Partners LLP</x:v>
      </x:c>
      <x:c r="H55" s="32" t="str">
        <x:v>not_found</x:v>
      </x:c>
      <x:c r="I55" s="32" t="str"/>
      <x:c r="J55" s="32" t="n">
        <x:v>0</x:v>
      </x:c>
      <x:c r="K55" s="32" t="str">
        <x:v>not_found</x:v>
      </x:c>
      <x:c r="L55" s="32" t="str">
        <x:v>1. АО Tansar Group от Тримовой Сауле [25] (e76c2b3c-2d74-40be-b7d9-653d2ed57570)
2. АО Tansar Group   - услуг по проведению аудита отдельной и консолидированной финансовой отчетности АО "Tansar Group" за период с 1 января 2025 года по 31 декабря 2025 года подготовленной в соответствии с Международными Стандартами Финансовой Отчетности  [4] (f0fc6162-8cc0-448c-a1a8-f1856fa7f06e)</x:v>
      </x:c>
      <x:c r="M55" s="32" t="str"/>
      <x:c r="N55" s="32" t="str"/>
      <x:c r="O55" s="32" t="str">
        <x:v>Кенжекулов Адилжан Абдикалыкович [partner]
Сауле Тримова [assistant_1]</x:v>
      </x:c>
      <x:c r="P55" s="33" t="b">
        <x:v>0</x:v>
      </x:c>
      <x:c r="Q55" s="32" t="str">
        <x:v>create_candidate</x:v>
      </x:c>
      <x:c r="R55" s="32" t="str">
        <x:v>review_create_or_skip</x:v>
      </x:c>
      <x:c r="S55" s="32" t="str"/>
      <x:c r="T55" s="32" t="str"/>
      <x:c r="U55" s="32" t="str"/>
    </x:row>
    <x:row r="56" ht="42" customHeight="1">
      <x:c r="A56" s="32" t="str">
        <x:v>2 кв проекты 2024 rbi.xlsx::проекты 2 кв 2024::16</x:v>
      </x:c>
      <x:c r="B56" s="32" t="str">
        <x:v>2 кв Проекты 2024_RBI.xlsx</x:v>
      </x:c>
      <x:c r="C56" s="32" t="str">
        <x:v>Проекты 2 кв 2024 </x:v>
      </x:c>
      <x:c r="D56" s="32" t="n">
        <x:v>16</x:v>
      </x:c>
      <x:c r="E56" s="32" t="str">
        <x:v>ТОО Cracking Catalyst</x:v>
      </x:c>
      <x:c r="F56" s="32" t="str">
        <x:v>Аудит ФО</x:v>
      </x:c>
      <x:c r="G56" s="32" t="str">
        <x:v>IAC Russell Bedford A+ Partners LLP</x:v>
      </x:c>
      <x:c r="H56" s="32" t="str">
        <x:v>not_found</x:v>
      </x:c>
      <x:c r="I56" s="32" t="str"/>
      <x:c r="J56" s="32" t="n">
        <x:v>0</x:v>
      </x:c>
      <x:c r="K56" s="32" t="str">
        <x:v>not_found</x:v>
      </x:c>
      <x:c r="L56" s="32" t="str"/>
      <x:c r="M56" s="32" t="str"/>
      <x:c r="N56" s="32" t="str"/>
      <x:c r="O56" s="32" t="str">
        <x:v>Сауле Бадамбаева [partner]
Нускабаева Райхан [manager_1]</x:v>
      </x:c>
      <x:c r="P56" s="33" t="b">
        <x:v>0</x:v>
      </x:c>
      <x:c r="Q56" s="32" t="str">
        <x:v>create_candidate</x:v>
      </x:c>
      <x:c r="R56" s="32" t="str">
        <x:v>review_create_or_skip</x:v>
      </x:c>
      <x:c r="S56" s="32" t="str"/>
      <x:c r="T56" s="32" t="str"/>
      <x:c r="U56" s="32" t="str"/>
    </x:row>
    <x:row r="57" ht="42" customHeight="1">
      <x:c r="A57" s="32" t="str">
        <x:v>2 кв проекты 2024 rbi.xlsx::проекты 2 кв 2024::18</x:v>
      </x:c>
      <x:c r="B57" s="32" t="str">
        <x:v>2 кв Проекты 2024_RBI.xlsx</x:v>
      </x:c>
      <x:c r="C57" s="32" t="str">
        <x:v>Проекты 2 кв 2024 </x:v>
      </x:c>
      <x:c r="D57" s="32" t="n">
        <x:v>18</x:v>
      </x:c>
      <x:c r="E57" s="32" t="str">
        <x:v>ТОО QazPromMinerals</x:v>
      </x:c>
      <x:c r="F57" s="32" t="str">
        <x:v>Аудит ФО</x:v>
      </x:c>
      <x:c r="G57" s="32" t="str">
        <x:v>IAC Russell Bedford A+ Partners LLP</x:v>
      </x:c>
      <x:c r="H57" s="32" t="str">
        <x:v>not_found</x:v>
      </x:c>
      <x:c r="I57" s="32" t="str"/>
      <x:c r="J57" s="32" t="n">
        <x:v>0</x:v>
      </x:c>
      <x:c r="K57" s="32" t="str">
        <x:v>not_found</x:v>
      </x:c>
      <x:c r="L57" s="32" t="str"/>
      <x:c r="M57" s="32" t="str"/>
      <x:c r="N57" s="32" t="str"/>
      <x:c r="O57" s="32" t="str">
        <x:v>Кенжекулов Адилжан Абдикалыкович [partner]</x:v>
      </x:c>
      <x:c r="P57" s="33" t="b">
        <x:v>0</x:v>
      </x:c>
      <x:c r="Q57" s="32" t="str">
        <x:v>create_candidate</x:v>
      </x:c>
      <x:c r="R57" s="32" t="str">
        <x:v>review_create_or_skip</x:v>
      </x:c>
      <x:c r="S57" s="32" t="str"/>
      <x:c r="T57" s="32" t="str"/>
      <x:c r="U57" s="32" t="str"/>
    </x:row>
    <x:row r="58" ht="42" customHeight="1">
      <x:c r="A58" s="32" t="str">
        <x:v>2 кв проекты 2024 rbi.xlsx::проекты 2 кв 2024::19</x:v>
      </x:c>
      <x:c r="B58" s="32" t="str">
        <x:v>2 кв Проекты 2024_RBI.xlsx</x:v>
      </x:c>
      <x:c r="C58" s="32" t="str">
        <x:v>Проекты 2 кв 2024 </x:v>
      </x:c>
      <x:c r="D58" s="32" t="n">
        <x:v>19</x:v>
      </x:c>
      <x:c r="E58" s="32" t="str">
        <x:v>АО Некоммерческое АО Адм. МФЦА</x:v>
      </x:c>
      <x:c r="F58" s="32" t="str">
        <x:v>Аудит ФО</x:v>
      </x:c>
      <x:c r="G58" s="32" t="str">
        <x:v>IAC Russell Bedford A+ Partners LLP</x:v>
      </x:c>
      <x:c r="H58" s="32" t="str">
        <x:v>not_found</x:v>
      </x:c>
      <x:c r="I58" s="32" t="str"/>
      <x:c r="J58" s="32" t="n">
        <x:v>0</x:v>
      </x:c>
      <x:c r="K58" s="32" t="str">
        <x:v>not_found</x:v>
      </x:c>
      <x:c r="L58" s="32" t="str"/>
      <x:c r="M58" s="32" t="str"/>
      <x:c r="N58" s="32" t="str"/>
      <x:c r="O58" s="32" t="str">
        <x:v>Шынгыс Сартаев [partner]</x:v>
      </x:c>
      <x:c r="P58" s="33" t="b">
        <x:v>0</x:v>
      </x:c>
      <x:c r="Q58" s="32" t="str">
        <x:v>create_candidate</x:v>
      </x:c>
      <x:c r="R58" s="32" t="str">
        <x:v>review_create_or_skip</x:v>
      </x:c>
      <x:c r="S58" s="32" t="str"/>
      <x:c r="T58" s="32" t="str"/>
      <x:c r="U58" s="32" t="str"/>
    </x:row>
    <x:row r="59" ht="42" customHeight="1">
      <x:c r="A59" s="32" t="str">
        <x:v>2 кв проекты 2024 rbi.xlsx::проекты 2 кв 2024::20</x:v>
      </x:c>
      <x:c r="B59" s="32" t="str">
        <x:v>2 кв Проекты 2024_RBI.xlsx</x:v>
      </x:c>
      <x:c r="C59" s="32" t="str">
        <x:v>Проекты 2 кв 2024 </x:v>
      </x:c>
      <x:c r="D59" s="32" t="n">
        <x:v>20</x:v>
      </x:c>
      <x:c r="E59" s="32" t="str">
        <x:v>АО «Казахстанский центр модернизации и развития жилищно-коммунального хозяйства»</x:v>
      </x:c>
      <x:c r="F59" s="32" t="str">
        <x:v>Аудит ФО</x:v>
      </x:c>
      <x:c r="G59" s="32" t="str">
        <x:v>IAC Russell Bedford A+ Partners LLP</x:v>
      </x:c>
      <x:c r="H59" s="32" t="str">
        <x:v>not_found</x:v>
      </x:c>
      <x:c r="I59" s="32" t="str"/>
      <x:c r="J59" s="32" t="n">
        <x:v>0</x:v>
      </x:c>
      <x:c r="K59" s="32" t="str">
        <x:v>not_found</x:v>
      </x:c>
      <x:c r="L59" s="32" t="str">
        <x:v>1. Объединения юридических лиц в форме Ассоциации «Международный центр развития нефтегазового машиностроения» («IMB Центр») [26] (46dcc841-8a44-4bde-832a-c6b7043e93b6)
2. АО Центр развития города Алматы [14] (9e2a9547-b14b-4c0e-920b-feaeca9694be)
3. АО Центр развития города Алматы [14] (6f92447c-8a3a-41aa-8ee2-62ae3f60aa15)
4. АО Центр развития города Алматы [14] (2cf1c9ae-dacb-4309-97da-4ea23e939f61)</x:v>
      </x:c>
      <x:c r="M59" s="32" t="str"/>
      <x:c r="N59" s="32" t="str"/>
      <x:c r="O59" s="32" t="str">
        <x:v>Арнабеков Ерлан [partner]</x:v>
      </x:c>
      <x:c r="P59" s="33" t="b">
        <x:v>0</x:v>
      </x:c>
      <x:c r="Q59" s="32" t="str">
        <x:v>create_candidate</x:v>
      </x:c>
      <x:c r="R59" s="32" t="str">
        <x:v>review_create_or_skip</x:v>
      </x:c>
      <x:c r="S59" s="32" t="str"/>
      <x:c r="T59" s="32" t="str"/>
      <x:c r="U59" s="32" t="str"/>
    </x:row>
    <x:row r="60" ht="42" customHeight="1">
      <x:c r="A60" s="32" t="str">
        <x:v>2 кв проекты 2024 rbi.xlsx::проекты 2 кв 2024::22</x:v>
      </x:c>
      <x:c r="B60" s="32" t="str">
        <x:v>2 кв Проекты 2024_RBI.xlsx</x:v>
      </x:c>
      <x:c r="C60" s="32" t="str">
        <x:v>Проекты 2 кв 2024 </x:v>
      </x:c>
      <x:c r="D60" s="32" t="n">
        <x:v>22</x:v>
      </x:c>
      <x:c r="E60" s="32" t="str">
        <x:v>РГП на ПХВ «Научно-исследовательский Институт проблем биологической безопасности» МЗ РК»</x:v>
      </x:c>
      <x:c r="F60" s="32" t="str">
        <x:v>Аудит ФО</x:v>
      </x:c>
      <x:c r="G60" s="32" t="str">
        <x:v>IAC Russell Bedford A+ Partners LLP</x:v>
      </x:c>
      <x:c r="H60" s="32" t="str">
        <x:v>not_found</x:v>
      </x:c>
      <x:c r="I60" s="32" t="str"/>
      <x:c r="J60" s="32" t="n">
        <x:v>0</x:v>
      </x:c>
      <x:c r="K60" s="32" t="str">
        <x:v>conflict</x:v>
      </x:c>
      <x:c r="L60" s="32" t="str">
        <x:v>1. ТОО «ALTAI MAI» - Аудит финансовой отчетности ТОО «ALTAI MAI» за период с 1 января 2024 года по 31 декабря 2024 года, подготовленной в соответствии с Международными Стандартами Финансовой Отчетности и проверка входящего сальдо 2023 года [68] (7dcaeb80-edc7-4849-a6b5-130e9149fc97)
2. Акционерное общество "Социально-предпринимательская корпорация "Сарыарка" - Услуги по проведению аудита финансовой отчетности [33] (d4e2f0e3-63d3-4ff4-948e-fa6883a6d2ef)
3. АО Социально-предпринимательская корпорация "Сарыарка - Услуги по проведению аудита финансовой отчетности; [33] (52d118b5-5ff3-4133-8236-8f11ba4fd53a)
4. АО Социально-предпринимательская корпорация "Сарыарка" - Услуги по проведению аудита финансовой отчетности; [33] (1e912d8d-f623-4c3e-8431-7be84fa3cd31)
5. ТОО Коллекторское агентство Эксперт Плюс - услуг по проведению аудита бухгалтерского учета и финансовой отчётности: по МСФО (IFRS): Полная проверка соответствия учетной политики и финансовой отчетности применимым стандартами, с особым фокусом на: 
- МСФО (IFRS) 9 «Финансовые инструменты»: Корректность первоначального признания и последующей оценки приобретенных портфелей задолженности по справедливой стоимости. Обоснованность методологии и расчетов резервов под ожидаемые кредитные убытки (ECL);
- МСФО (IFRS) 15 «Выручка по договорам с покупателями»: Правильность признания выручки от успешно взысканных долгов, комиссионных доходов;
- МСФО (IАS) 1,8,37 и др.: Адекватность раскрытий в отчетности, учет оценочных обязательств;
- По Национальным стандартам (КСБУ/НСФО) РК: Проверка корректности ведения бухгалтерского учета и составления отчетности в соответствии с действующими КСБУ РК; 
-  Анализ учетной политики в рамках МСФО и КСБУ 
 [33] (bd3b1192-38bc-45de-94d3-968955db589f)</x:v>
      </x:c>
      <x:c r="M60" s="32" t="str"/>
      <x:c r="N60" s="32" t="str"/>
      <x:c r="O60" s="32" t="str">
        <x:v>Кенжекулов Адилжан Абдикалыкович [partner]</x:v>
      </x:c>
      <x:c r="P60" s="33" t="b">
        <x:v>0</x:v>
      </x:c>
      <x:c r="Q60" s="32" t="str">
        <x:v>create_candidate</x:v>
      </x:c>
      <x:c r="R60" s="32" t="str">
        <x:v>review_create_or_skip</x:v>
      </x:c>
      <x:c r="S60" s="32" t="str"/>
      <x:c r="T60" s="32" t="str"/>
      <x:c r="U60" s="32" t="str"/>
    </x:row>
    <x:row r="61" ht="42" customHeight="1">
      <x:c r="A61" s="32" t="str">
        <x:v>2 кв проекты 2024 rbi.xlsx::проекты 2 кв 2024::23</x:v>
      </x:c>
      <x:c r="B61" s="32" t="str">
        <x:v>2 кв Проекты 2024_RBI.xlsx</x:v>
      </x:c>
      <x:c r="C61" s="32" t="str">
        <x:v>Проекты 2 кв 2024 </x:v>
      </x:c>
      <x:c r="D61" s="32" t="n">
        <x:v>23</x:v>
      </x:c>
      <x:c r="E61" s="32" t="str">
        <x:v>ТОО ИП «СЖС Казахстан ЛТД»</x:v>
      </x:c>
      <x:c r="F61" s="32" t="str">
        <x:v>Аудит ФО</x:v>
      </x:c>
      <x:c r="G61" s="32" t="str">
        <x:v>IAC Russell Bedford A+ Partners LLP</x:v>
      </x:c>
      <x:c r="H61" s="32" t="str">
        <x:v>not_found</x:v>
      </x:c>
      <x:c r="I61" s="32" t="str"/>
      <x:c r="J61" s="32" t="n">
        <x:v>0</x:v>
      </x:c>
      <x:c r="K61" s="32" t="str">
        <x:v>not_found</x:v>
      </x:c>
      <x:c r="L61" s="32" t="str">
        <x:v>1. Частная компания ДТМ Казахстан Лтд - услуги по оценке права требования по платежам по договору цессии, согласно Заданию на оценку (Приложение 1) [33] (05ff0d22-3578-47c4-8919-3de2a30f7fa8)
2. Частная Компания ДТМ Казахстан Лтд (старое название ЧК «BiZone Kazakhstan Ltd.») [33] (5293b73b-6d70-42d6-a6c0-6417b820ddbd)
3. Частная Компания ДТМ Казахстан Лтд (старое название ЧК «BiZone Kazakhstan Ltd.») [33] (30abc8a9-6a9f-4231-a1b7-48f6b0fe1dbc)
4. Частная Компания ДТМ Казахстан Лтд (старое название ЧК «BiZone Kazakhstan Ltd.») [33] (e4e60598-aebf-4523-a45f-776310ed8577)
5. Частная Компания ДТМ Казахстан Лтд (старое название ЧК «BiZone Kazakhstan Ltd.») [33] (888bb28c-2641-4bcb-bd28-d624016d08e0)</x:v>
      </x:c>
      <x:c r="M61" s="32" t="str"/>
      <x:c r="N61" s="32" t="str"/>
      <x:c r="O61" s="32" t="str">
        <x:v>Сауле Бадамбаева [partner]
Сартаева Гаухар Шыныбековна [manager_1]
Акулпа Аделет [assistant_1]
Айдана Иргебаева [assistant_1]</x:v>
      </x:c>
      <x:c r="P61" s="33" t="b">
        <x:v>0</x:v>
      </x:c>
      <x:c r="Q61" s="32" t="str">
        <x:v>create_candidate</x:v>
      </x:c>
      <x:c r="R61" s="32" t="str">
        <x:v>review_create_or_skip</x:v>
      </x:c>
      <x:c r="S61" s="32" t="str"/>
      <x:c r="T61" s="32" t="str"/>
      <x:c r="U61" s="32" t="str"/>
    </x:row>
    <x:row r="62" ht="42" customHeight="1">
      <x:c r="A62" s="32" t="str">
        <x:v>2 кв проекты 2024 rbi.xlsx::проекты 2 кв 2024::36</x:v>
      </x:c>
      <x:c r="B62" s="32" t="str">
        <x:v>2 кв Проекты 2024_RBI.xlsx</x:v>
      </x:c>
      <x:c r="C62" s="32" t="str">
        <x:v>Проекты 2 кв 2024 </x:v>
      </x:c>
      <x:c r="D62" s="32" t="n">
        <x:v>36</x:v>
      </x:c>
      <x:c r="E62" s="32" t="str">
        <x:v>Акционерное Общество «Усть-Каменогорские тепловые сети»</x:v>
      </x:c>
      <x:c r="F62" s="32" t="str">
        <x:v>Аудит ФО</x:v>
      </x:c>
      <x:c r="G62" s="32" t="str">
        <x:v>IAC Russell Bedford A+ Partners LLP</x:v>
      </x:c>
      <x:c r="H62" s="32" t="str">
        <x:v>not_found</x:v>
      </x:c>
      <x:c r="I62" s="32" t="str"/>
      <x:c r="J62" s="32" t="n">
        <x:v>0</x:v>
      </x:c>
      <x:c r="K62" s="32" t="str">
        <x:v>not_found</x:v>
      </x:c>
      <x:c r="L62" s="32" t="str">
        <x:v>1. Акционерное общество "Национальная платежная корпорация Национального Банка Республики Казахстан" - АУДИТ за 2024 [64] (49694440-aee8-4cf4-af94-a8d4ef55a462)
2. Акционерное общество "Аэропорт Шымкент" - Услуги по проведению аудита финансовой отчетности [41] (c4918675-722f-4082-92f2-f0bbc58d23e0)
3. Акционерное общество "Социально-предпринимательская корпорация "Қонаев" - Услуги по
проведению
аудита
финансовой
отчетности [41] (1041b77c-6266-408d-b7bd-3c9fa71d062e)
4. Акционерное общество "Социально-предпринимательская корпорация "Сарыарка" - Услуги по проведению аудита финансовой отчетности [41] (d4e2f0e3-63d3-4ff4-948e-fa6883a6d2ef)
5. Некоммерческое акционерное общество "Евразийский национальный университет имени Л.Н.Гумилева" - Услуги по проведению аудита финансовой отчетности [41] (fa6f39ef-2dda-4056-b088-ee1bffa8fb8d)</x:v>
      </x:c>
      <x:c r="M62" s="32" t="str"/>
      <x:c r="N62" s="32" t="str"/>
      <x:c r="O62" s="32" t="str">
        <x:v>Сауле Бадамбаева [partner]</x:v>
      </x:c>
      <x:c r="P62" s="33" t="b">
        <x:v>0</x:v>
      </x:c>
      <x:c r="Q62" s="32" t="str">
        <x:v>create_candidate</x:v>
      </x:c>
      <x:c r="R62" s="32" t="str">
        <x:v>review_create_or_skip</x:v>
      </x:c>
      <x:c r="S62" s="32" t="str"/>
      <x:c r="T62" s="32" t="str"/>
      <x:c r="U62" s="32" t="str"/>
    </x:row>
    <x:row r="63" ht="42" customHeight="1">
      <x:c r="A63" s="32" t="str">
        <x:v>2 кв проекты 2024 rbi.xlsx::проекты 2 кв 2024::38</x:v>
      </x:c>
      <x:c r="B63" s="32" t="str">
        <x:v>2 кв Проекты 2024_RBI.xlsx</x:v>
      </x:c>
      <x:c r="C63" s="32" t="str">
        <x:v>Проекты 2 кв 2024 </x:v>
      </x:c>
      <x:c r="D63" s="32" t="n">
        <x:v>38</x:v>
      </x:c>
      <x:c r="E63" s="32" t="str">
        <x:v>АО «ULMUS BESSHOKY» (УЛМУС БЕСШОКЫ)</x:v>
      </x:c>
      <x:c r="F63" s="32" t="str">
        <x:v>Аудит ФО</x:v>
      </x:c>
      <x:c r="G63" s="32" t="str">
        <x:v>IAC Russell Bedford A+ Partners LLP</x:v>
      </x:c>
      <x:c r="H63" s="32" t="str">
        <x:v>not_found</x:v>
      </x:c>
      <x:c r="I63" s="32" t="str"/>
      <x:c r="J63" s="32" t="n">
        <x:v>0</x:v>
      </x:c>
      <x:c r="K63" s="32" t="str">
        <x:v>not_found</x:v>
      </x:c>
      <x:c r="L63" s="32" t="str">
        <x:v>1. АО «ULMUS BESSHOKY» (ULMUS BESSHOKY)  [25] (c2724a27-93e4-4339-9164-03dfc48b5172)
2. АО «ULMUS BESSHOKY» (ULMUS BESSHOKY)  [25] (bb32273a-8a78-416f-b2eb-68a98d31dedc)
3. АО «ULMUS BESSHOKY» (ULMUS BESSHOKY)  [25] (145ce85c-8ffa-437c-b69a-25cab02cff58)
4. АО «ULMUS BESSHOKY» (ULMUS BESSHOKY)  [25] (f47f29f4-5851-4330-96df-b6798dde0206)
5. АО «ULMUS BESSHOKY» (ULMUS BESSHOKY)  [25] (0aabe07c-8080-45c7-b5e9-cee479de4131)</x:v>
      </x:c>
      <x:c r="M63" s="32" t="str"/>
      <x:c r="N63" s="32" t="str"/>
      <x:c r="O63" s="32" t="str">
        <x:v>Сауле Бадамбаева [partner]
Альфира Хисамитдинова [assistant_1]</x:v>
      </x:c>
      <x:c r="P63" s="33" t="b">
        <x:v>0</x:v>
      </x:c>
      <x:c r="Q63" s="32" t="str">
        <x:v>create_candidate</x:v>
      </x:c>
      <x:c r="R63" s="32" t="str">
        <x:v>review_create_or_skip</x:v>
      </x:c>
      <x:c r="S63" s="32" t="str"/>
      <x:c r="T63" s="32" t="str"/>
      <x:c r="U63" s="32" t="str"/>
    </x:row>
    <x:row r="64" ht="42" customHeight="1">
      <x:c r="A64" s="32" t="str">
        <x:v>2 кв проекты 2024 rbi.xlsx::проекты 2 кв 2024::45</x:v>
      </x:c>
      <x:c r="B64" s="32" t="str">
        <x:v>2 кв Проекты 2024_RBI.xlsx</x:v>
      </x:c>
      <x:c r="C64" s="32" t="str">
        <x:v>Проекты 2 кв 2024 </x:v>
      </x:c>
      <x:c r="D64" s="32" t="n">
        <x:v>45</x:v>
      </x:c>
      <x:c r="E64" s="32" t="str">
        <x:v>Joint-Stock Investment Foundation for Risk InvestmentsTG MED’ Joint-Stock Company</x:v>
      </x:c>
      <x:c r="F64" s="32" t="str">
        <x:v>Аудит ФО</x:v>
      </x:c>
      <x:c r="G64" s="32" t="str">
        <x:v>IAC Russell Bedford A+ Partners LLP</x:v>
      </x:c>
      <x:c r="H64" s="32" t="str">
        <x:v>not_found</x:v>
      </x:c>
      <x:c r="I64" s="32" t="str"/>
      <x:c r="J64" s="32" t="n">
        <x:v>0</x:v>
      </x:c>
      <x:c r="K64" s="32" t="str">
        <x:v>not_found</x:v>
      </x:c>
      <x:c r="L64" s="32" t="str">
        <x:v>1. АО Joint Resources [10] (3b70d031-3f0a-4bca-8c47-cf7d7f35804c)
2. ТОО «MS STOCK (МС СТОК)»  [10] (59f6ad62-7766-4490-a686-b346c0a76158)
3. ТОО Joint Technologies [10] (540b8c9d-89d5-4970-99f1-3667ec6c5593)
4. ТОО Joint Technologies - Оценку рыночной стоимости долей участия Заказчика в уставном капитале юридического лица (далее – Объект оценки), согласно Заданию на оценку (Приложение 1):
100% доля участия в ТОО «Caspian Offshore and Marine construction» [10] (5c23d253-45cd-4f14-9ad7-fd8734748af1)</x:v>
      </x:c>
      <x:c r="M64" s="32" t="str"/>
      <x:c r="N64" s="32" t="str"/>
      <x:c r="O64" s="32" t="str">
        <x:v>Кенжекулов Адилжан Абдикалыкович [partner]</x:v>
      </x:c>
      <x:c r="P64" s="33" t="b">
        <x:v>0</x:v>
      </x:c>
      <x:c r="Q64" s="32" t="str">
        <x:v>create_candidate</x:v>
      </x:c>
      <x:c r="R64" s="32" t="str">
        <x:v>review_create_or_skip</x:v>
      </x:c>
      <x:c r="S64" s="32" t="str"/>
      <x:c r="T64" s="32" t="str"/>
      <x:c r="U64" s="32" t="str"/>
    </x:row>
    <x:row r="65" ht="42" customHeight="1">
      <x:c r="A65" s="32" t="str">
        <x:v>2 кв проекты 2024 rbi.xlsx::проекты 2 кв 2024::46</x:v>
      </x:c>
      <x:c r="B65" s="32" t="str">
        <x:v>2 кв Проекты 2024_RBI.xlsx</x:v>
      </x:c>
      <x:c r="C65" s="32" t="str">
        <x:v>Проекты 2 кв 2024 </x:v>
      </x:c>
      <x:c r="D65" s="32" t="n">
        <x:v>46</x:v>
      </x:c>
      <x:c r="E65" s="32" t="str">
        <x:v>Joint-Stock Investment Fund for Risk Investments “TG Al - Farabi” Joint-Stock Company</x:v>
      </x:c>
      <x:c r="F65" s="32" t="str">
        <x:v>Аудит ФО</x:v>
      </x:c>
      <x:c r="G65" s="32" t="str">
        <x:v>IAC Russell Bedford A+ Partners LLP</x:v>
      </x:c>
      <x:c r="H65" s="32" t="str">
        <x:v>not_found</x:v>
      </x:c>
      <x:c r="I65" s="32" t="str"/>
      <x:c r="J65" s="32" t="n">
        <x:v>0</x:v>
      </x:c>
      <x:c r="K65" s="32" t="str">
        <x:v>conflict</x:v>
      </x:c>
      <x:c r="L65" s="32" t="str">
        <x:v>1. 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 [67] (03813a13-459e-4d7f-ac17-8e2d050faccd)
2.  Частная компания открытого инвестиционного типа TG Global PRE-IPO Fund I OEIC Limited. - Услуги по проведению аудита отдельной и консолидированной финансовой отчётности [37] (360689d4-6dac-4e34-aecc-e7afd8570423)
3. Частная компания открытого инвестиционного типа TG Global Pre-IPO Fund II OEIC Limited  - Услуги по проведению аудита отдельной и консолидированной финансовой отчётности [37] (56442a92-ca05-4120-8cc3-487dd5f20c2e)
4. ЧАСТНАЯ КОМПАНИЯ ОТКРЫТОГО ИНВЕСТИЦИОННОГО ТИПА TG GLOBAL PRE-IPO FUND III OEIC LIMITED - Услуги по проведению аудита отдельной и консолидированной финансовой отчётности [37] (f596cb67-c52f-4b41-9011-517d6924149d)
5. ЧАСТНАЯ КОМПАНИЯ ОТКРЫТОГО ИНВЕСТИЦИОННОГО ТИПА TG GLOBAL SARYARKA FUND OEIC LIMITED - Услуги по проведению аудита отдельной и консолидированной финансовой отчётности [37] (7e166492-87ee-4eeb-81a7-4cadb8bc7bd0)</x:v>
      </x:c>
      <x:c r="M65" s="32" t="str"/>
      <x:c r="N65" s="32" t="str">
        <x:v>Арнабеков Ерлан [partner]</x:v>
      </x:c>
      <x:c r="O65" s="32" t="str">
        <x:v>Кенжекулов Адилжан Абдикалыкович [partner]</x:v>
      </x:c>
      <x:c r="P65" s="33" t="b">
        <x:v>1</x:v>
      </x:c>
      <x:c r="Q65" s="32" t="str">
        <x:v>create_candidate</x:v>
      </x:c>
      <x:c r="R65" s="32" t="str">
        <x:v>review_create_or_skip</x:v>
      </x:c>
      <x:c r="S65" s="32" t="str"/>
      <x:c r="T65" s="32" t="str"/>
      <x:c r="U65" s="32" t="str"/>
    </x:row>
    <x:row r="66" ht="42" customHeight="1">
      <x:c r="A66" s="32" t="str">
        <x:v>2 кв проекты 2024 rbi.xlsx::проекты 2 кв 2024::47</x:v>
      </x:c>
      <x:c r="B66" s="32" t="str">
        <x:v>2 кв Проекты 2024_RBI.xlsx</x:v>
      </x:c>
      <x:c r="C66" s="32" t="str">
        <x:v>Проекты 2 кв 2024 </x:v>
      </x:c>
      <x:c r="D66" s="32" t="n">
        <x:v>47</x:v>
      </x:c>
      <x:c r="E66" s="32" t="str">
        <x:v>ТОО Еврокоптер Казахстан Инжиниринг</x:v>
      </x:c>
      <x:c r="F66" s="32" t="str">
        <x:v>Аудит ФО</x:v>
      </x:c>
      <x:c r="G66" s="32" t="str">
        <x:v>IAC Russell Bedford A+ Partners LLP</x:v>
      </x:c>
      <x:c r="H66" s="32" t="str">
        <x:v>not_found</x:v>
      </x:c>
      <x:c r="I66" s="32" t="str"/>
      <x:c r="J66" s="32" t="n">
        <x:v>0</x:v>
      </x:c>
      <x:c r="K66" s="32" t="str">
        <x:v>not_found</x:v>
      </x:c>
      <x:c r="L66" s="32" t="str">
        <x:v>1. ТОО КАЗАХСТАН ASELSAN ИНЖИНИРИНГ (КАЗАХСТАН АСЕЛСАН ИНЖИНИРИНГ) - Услуги по проведению аудита финансовой отчетности [57] (17cf64ff-5f6d-4c81-b5eb-20c9fad79344)
2. Акционерное общество "Национальная платежная корпорация Национального Банка Республики Казахстан" - АУДИТ за 2024 [19] (49694440-aee8-4cf4-af94-a8d4ef55a462)
3. АО "Республиканская телерадиокорпорация "Казахстан" (за 2024-2026гг) [7] (34cb9178-42ab-4479-96b1-59f9c1eff0a2)
4. АО "Республиканская телерадиокорпорация "Казахстан" (за 2024-2026гг) [7] (79fa8e30-5ba2-49ee-8916-cc490f855d28)
5. АО "Республиканская телерадиокорпорация "Казахстан" (за 2024-2026гг) [7] (dc446cf9-582d-422f-b872-1c69b4fc103c)</x:v>
      </x:c>
      <x:c r="M66" s="32" t="str"/>
      <x:c r="N66" s="32" t="str"/>
      <x:c r="O66" s="32" t="str">
        <x:v>Шынгыс Сартаев [partner]</x:v>
      </x:c>
      <x:c r="P66" s="33" t="b">
        <x:v>0</x:v>
      </x:c>
      <x:c r="Q66" s="32" t="str">
        <x:v>create_candidate</x:v>
      </x:c>
      <x:c r="R66" s="32" t="str">
        <x:v>review_create_or_skip</x:v>
      </x:c>
      <x:c r="S66" s="32" t="str"/>
      <x:c r="T66" s="32" t="str"/>
      <x:c r="U66" s="32" t="str"/>
    </x:row>
    <x:row r="67" ht="42" customHeight="1">
      <x:c r="A67" s="32" t="str">
        <x:v>2 кв проекты 2024 rbi.xlsx::проекты 2 кв 2024::49</x:v>
      </x:c>
      <x:c r="B67" s="32" t="str">
        <x:v>2 кв Проекты 2024_RBI.xlsx</x:v>
      </x:c>
      <x:c r="C67" s="32" t="str">
        <x:v>Проекты 2 кв 2024 </x:v>
      </x:c>
      <x:c r="D67" s="32" t="n">
        <x:v>49</x:v>
      </x:c>
      <x:c r="E67" s="32" t="str">
        <x:v>КГП на ПХВ Метрополитен</x:v>
      </x:c>
      <x:c r="F67" s="32" t="str">
        <x:v>Аудит ФО</x:v>
      </x:c>
      <x:c r="G67" s="32" t="str">
        <x:v>IAC Russell Bedford A+ Partners LLP</x:v>
      </x:c>
      <x:c r="H67" s="32" t="str">
        <x:v>not_found</x:v>
      </x:c>
      <x:c r="I67" s="32" t="str"/>
      <x:c r="J67" s="32" t="n">
        <x:v>0</x:v>
      </x:c>
      <x:c r="K67" s="32" t="str">
        <x:v>not_found</x:v>
      </x:c>
      <x:c r="L67" s="32" t="str">
        <x:v>1. 	АО "Социально-предпринимательская корпорация "Актобе" (за 2024-2026гг) - Закуп услуги по проведению аудита финансовой отчетности за 2024–2025-2026 годы Акционерного общества «Социально-предпринимательская
корпорация «Актобе»
Аудит за 2026 год [27] (e5039b53-76ad-4967-b953-7fbf6fda0939)
2. АО "Социально-предпринимательская корпорация "Актобе" (за 2024-2026гг) - Аудит финансовой отчетности за 2026 год
(Аудит финансовой отчетности за 2024–2025-2026 годы Акционерного общества «Социально-предпринимательская корпорация «Актобе») [27] (76ff2e58-fe2f-4fe2-a387-4a528d39ae94)
3. 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 [27] (03813a13-459e-4d7f-ac17-8e2d050faccd)
4. ТОО «АЗИЯГАЗ ЧУНДЖА» - Услуги по аудиту финансовой отчетности для ТОО «АЗИЯГАЗ ЧУНДЖА» на 2024-2025 годы [27] (544b3c43-4d4d-46de-a303-cd6f5939b364)
5. ТОО «ALTAI MAI» - Аудит финансовой отчетности ТОО «ALTAI MAI» за период с 1 января 2024 года по 31 декабря 2024 года, подготовленной в соответствии с Международными Стандартами Финансовой Отчетности и проверка входящего сальдо 2023 года [27] (7dcaeb80-edc7-4849-a6b5-130e9149fc97)</x:v>
      </x:c>
      <x:c r="M67" s="32" t="str"/>
      <x:c r="N67" s="32" t="str"/>
      <x:c r="O67" s="32" t="str">
        <x:v>Кенжекулов Адилжан Абдикалыкович [partner]</x:v>
      </x:c>
      <x:c r="P67" s="33" t="b">
        <x:v>0</x:v>
      </x:c>
      <x:c r="Q67" s="32" t="str">
        <x:v>create_candidate</x:v>
      </x:c>
      <x:c r="R67" s="32" t="str">
        <x:v>review_create_or_skip</x:v>
      </x:c>
      <x:c r="S67" s="32" t="str"/>
      <x:c r="T67" s="32" t="str"/>
      <x:c r="U67" s="32" t="str"/>
    </x:row>
    <x:row r="68" ht="42" customHeight="1">
      <x:c r="A68" s="32" t="str">
        <x:v>2 кв проекты 2024 rbi.xlsx::проекты 2 кв 2024::51</x:v>
      </x:c>
      <x:c r="B68" s="32" t="str">
        <x:v>2 кв Проекты 2024_RBI.xlsx</x:v>
      </x:c>
      <x:c r="C68" s="32" t="str">
        <x:v>Проекты 2 кв 2024 </x:v>
      </x:c>
      <x:c r="D68" s="32" t="n">
        <x:v>51</x:v>
      </x:c>
      <x:c r="E68" s="32" t="str">
        <x:v>Tansar Group Joint Stock Company</x:v>
      </x:c>
      <x:c r="F68" s="32" t="str">
        <x:v>Аудит ФО</x:v>
      </x:c>
      <x:c r="G68" s="32" t="str">
        <x:v>IAC Russell Bedford A+ Partners LLP</x:v>
      </x:c>
      <x:c r="H68" s="32" t="str">
        <x:v>not_found</x:v>
      </x:c>
      <x:c r="I68" s="32" t="str"/>
      <x:c r="J68" s="32" t="n">
        <x:v>0</x:v>
      </x:c>
      <x:c r="K68" s="32" t="str">
        <x:v>not_found</x:v>
      </x:c>
      <x:c r="L68" s="32" t="str">
        <x:v>1. АО Tansar Group от Тримовой Сауле [25] (e76c2b3c-2d74-40be-b7d9-653d2ed57570)
2. АО Tansar Group   - услуг по проведению аудита отдельной и консолидированной финансовой отчетности АО "Tansar Group" за период с 1 января 2025 года по 31 декабря 2025 года подготовленной в соответствии с Международными Стандартами Финансовой Отчетности  [4] (f0fc6162-8cc0-448c-a1a8-f1856fa7f06e)</x:v>
      </x:c>
      <x:c r="M68" s="32" t="str"/>
      <x:c r="N68" s="32" t="str"/>
      <x:c r="O68" s="32" t="str">
        <x:v>Кенжекулов Адилжан Абдикалыкович [partner]
Сауле Тримова [assistant_1]</x:v>
      </x:c>
      <x:c r="P68" s="33" t="b">
        <x:v>0</x:v>
      </x:c>
      <x:c r="Q68" s="32" t="str">
        <x:v>create_candidate</x:v>
      </x:c>
      <x:c r="R68" s="32" t="str">
        <x:v>review_create_or_skip</x:v>
      </x:c>
      <x:c r="S68" s="32" t="str"/>
      <x:c r="T68" s="32" t="str"/>
      <x:c r="U68" s="32" t="str"/>
    </x:row>
    <x:row r="69" ht="42" customHeight="1">
      <x:c r="A69" s="32" t="str">
        <x:v>2 кв проекты 2024 rbi.xlsx::проекты 2 кв 2024::52</x:v>
      </x:c>
      <x:c r="B69" s="32" t="str">
        <x:v>2 кв Проекты 2024_RBI.xlsx</x:v>
      </x:c>
      <x:c r="C69" s="32" t="str">
        <x:v>Проекты 2 кв 2024 </x:v>
      </x:c>
      <x:c r="D69" s="32" t="n">
        <x:v>52</x:v>
      </x:c>
      <x:c r="E69" s="32" t="str">
        <x:v>Joint Stock Company TANSAR CAPITAL</x:v>
      </x:c>
      <x:c r="F69" s="32" t="str">
        <x:v>Аудит ФО</x:v>
      </x:c>
      <x:c r="G69" s="32" t="str">
        <x:v>IAC Russell Bedford A+ Partners LLP</x:v>
      </x:c>
      <x:c r="H69" s="32" t="str">
        <x:v>not_found</x:v>
      </x:c>
      <x:c r="I69" s="32" t="str"/>
      <x:c r="J69" s="32" t="n">
        <x:v>0</x:v>
      </x:c>
      <x:c r="K69" s="32" t="str">
        <x:v>not_found</x:v>
      </x:c>
      <x:c r="L69" s="32" t="str">
        <x:v>1. АО Tansar Capital  от Тримовой Сауле [25] (e0d5885d-7a20-4493-975e-f5461a83de42)
2. AO Tansar Capital  - Услуг по проведению аудита финансовой отчетности Акционерное общество "Tansar Capital" за период с 1 января 2025 года по 31 декабря 2025 года, подготовленной в соответствии с Международными Стандартами Финансовой Отчетности  [4] (27750c7a-c623-434d-9605-0666c73e02ac)</x:v>
      </x:c>
      <x:c r="M69" s="32" t="str"/>
      <x:c r="N69" s="32" t="str"/>
      <x:c r="O69" s="32" t="str">
        <x:v>Кенжекулов Адилжан Абдикалыкович [partner]
Сауле Тримова [assistant_1]</x:v>
      </x:c>
      <x:c r="P69" s="33" t="b">
        <x:v>0</x:v>
      </x:c>
      <x:c r="Q69" s="32" t="str">
        <x:v>create_candidate</x:v>
      </x:c>
      <x:c r="R69" s="32" t="str">
        <x:v>review_create_or_skip</x:v>
      </x:c>
      <x:c r="S69" s="32" t="str"/>
      <x:c r="T69" s="32" t="str"/>
      <x:c r="U69" s="32" t="str"/>
    </x:row>
    <x:row r="70" ht="42" customHeight="1">
      <x:c r="A70" s="32" t="str">
        <x:v>2 кв проекты 2024 rbi.xlsx::проекты 2 кв 2024::53</x:v>
      </x:c>
      <x:c r="B70" s="32" t="str">
        <x:v>2 кв Проекты 2024_RBI.xlsx</x:v>
      </x:c>
      <x:c r="C70" s="32" t="str">
        <x:v>Проекты 2 кв 2024 </x:v>
      </x:c>
      <x:c r="D70" s="32" t="n">
        <x:v>53</x:v>
      </x:c>
      <x:c r="E70" s="32" t="str">
        <x:v>ТОО “Teta Telecom”</x:v>
      </x:c>
      <x:c r="F70" s="32" t="str">
        <x:v>Аудит ФО</x:v>
      </x:c>
      <x:c r="G70" s="32" t="str">
        <x:v>IAC Russell Bedford A+ Partners LLP</x:v>
      </x:c>
      <x:c r="H70" s="32" t="str">
        <x:v>not_found</x:v>
      </x:c>
      <x:c r="I70" s="32" t="str"/>
      <x:c r="J70" s="32" t="n">
        <x:v>0</x:v>
      </x:c>
      <x:c r="K70" s="32" t="str">
        <x:v>not_found</x:v>
      </x:c>
      <x:c r="L70" s="32" t="str"/>
      <x:c r="M70" s="32" t="str"/>
      <x:c r="N70" s="32" t="str"/>
      <x:c r="O70" s="32" t="str">
        <x:v>Шынгыс Сартаев [partner]
Али Кожагулов [assistant_1]</x:v>
      </x:c>
      <x:c r="P70" s="33" t="b">
        <x:v>0</x:v>
      </x:c>
      <x:c r="Q70" s="32" t="str">
        <x:v>create_candidate</x:v>
      </x:c>
      <x:c r="R70" s="32" t="str">
        <x:v>review_create_or_skip</x:v>
      </x:c>
      <x:c r="S70" s="32" t="str"/>
      <x:c r="T70" s="32" t="str"/>
      <x:c r="U70" s="32" t="str"/>
    </x:row>
    <x:row r="71" ht="42" customHeight="1">
      <x:c r="A71" s="32" t="str">
        <x:v>2 кв проекты 2024 rbi.xlsx::проекты 2 кв 2024::55</x:v>
      </x:c>
      <x:c r="B71" s="32" t="str">
        <x:v>2 кв Проекты 2024_RBI.xlsx</x:v>
      </x:c>
      <x:c r="C71" s="32" t="str">
        <x:v>Проекты 2 кв 2024 </x:v>
      </x:c>
      <x:c r="D71" s="32" t="n">
        <x:v>55</x:v>
      </x:c>
      <x:c r="E71" s="32" t="str">
        <x:v>ТОО Энергия Семиречья</x:v>
      </x:c>
      <x:c r="F71" s="32" t="str">
        <x:v>Аудит ФО</x:v>
      </x:c>
      <x:c r="G71" s="32" t="str">
        <x:v>IAC Russell Bedford A+ Partners LLP</x:v>
      </x:c>
      <x:c r="H71" s="32" t="str">
        <x:v>not_found</x:v>
      </x:c>
      <x:c r="I71" s="32" t="str"/>
      <x:c r="J71" s="32" t="n">
        <x:v>0</x:v>
      </x:c>
      <x:c r="K71" s="32" t="str">
        <x:v>not_found</x:v>
      </x:c>
      <x:c r="L71" s="32" t="str"/>
      <x:c r="M71" s="32" t="str"/>
      <x:c r="N71" s="32" t="str"/>
      <x:c r="O71" s="32" t="str">
        <x:v>Сауле Бадамбаева [partner]
Кенжебек Мая Тельманкызы [manager_1]</x:v>
      </x:c>
      <x:c r="P71" s="33" t="b">
        <x:v>0</x:v>
      </x:c>
      <x:c r="Q71" s="32" t="str">
        <x:v>create_candidate</x:v>
      </x:c>
      <x:c r="R71" s="32" t="str">
        <x:v>review_create_or_skip</x:v>
      </x:c>
      <x:c r="S71" s="32" t="str"/>
      <x:c r="T71" s="32" t="str"/>
      <x:c r="U71" s="32" t="str"/>
    </x:row>
    <x:row r="72" ht="42" customHeight="1">
      <x:c r="A72" s="32" t="str">
        <x:v>2 кв проекты 2024 rbi.xlsx::проекты 2 кв 2024::56</x:v>
      </x:c>
      <x:c r="B72" s="32" t="str">
        <x:v>2 кв Проекты 2024_RBI.xlsx</x:v>
      </x:c>
      <x:c r="C72" s="32" t="str">
        <x:v>Проекты 2 кв 2024 </x:v>
      </x:c>
      <x:c r="D72" s="32" t="n">
        <x:v>56</x:v>
      </x:c>
      <x:c r="E72" s="32" t="str">
        <x:v>АО ДП Актобе-Темир-ВС</x:v>
      </x:c>
      <x:c r="F72" s="32" t="str">
        <x:v>Аудит ФО</x:v>
      </x:c>
      <x:c r="G72" s="32" t="str">
        <x:v>IAC Russell Bedford A+ Partners LLP</x:v>
      </x:c>
      <x:c r="H72" s="32" t="str">
        <x:v>not_found</x:v>
      </x:c>
      <x:c r="I72" s="32" t="str"/>
      <x:c r="J72" s="32" t="n">
        <x:v>0</x:v>
      </x:c>
      <x:c r="K72" s="32" t="str">
        <x:v>not_found</x:v>
      </x:c>
      <x:c r="L72" s="32" t="str">
        <x:v>1. 	АО "Социально-предпринимательская корпорация "Актобе" (за 2024-2026гг) - Закуп услуги по проведению аудита финансовой отчетности за 2024–2025-2026 годы Акционерного общества «Социально-предпринимательская
корпорация «Актобе»
Аудит за 2026 год [49] (e5039b53-76ad-4967-b953-7fbf6fda0939)
2. АО "Социально-предпринимательская корпорация "Актобе" (за 2024-2026гг) - Аудит финансовой отчетности за 2026 год
(Аудит финансовой отчетности за 2024–2025-2026 годы Акционерного общества «Социально-предпринимательская корпорация «Актобе») [49] (76ff2e58-fe2f-4fe2-a387-4a528d39ae94)
3. АО «Дочернее предприятие «Актобе-Темир-В.С.» [38] (b8a9f223-2ad7-494b-8d29-65f358f84da3)
4. АО "Социально-предпринимательская корпорация "Актобе" [25] (ea9f5889-f94d-492e-b11c-69630b688c7c)
5. АО "Социально-предпринимательская корпорация "Актобе" [25] (cdbd79ee-8914-481a-ab89-29711bd5c53f)</x:v>
      </x:c>
      <x:c r="M72" s="32" t="str"/>
      <x:c r="N72" s="32" t="str"/>
      <x:c r="O72" s="32" t="str">
        <x:v>Кудайбергенова Шолпанай [partner]
Альфира Хисамитдинова [assistant_1]</x:v>
      </x:c>
      <x:c r="P72" s="33" t="b">
        <x:v>0</x:v>
      </x:c>
      <x:c r="Q72" s="32" t="str">
        <x:v>create_candidate</x:v>
      </x:c>
      <x:c r="R72" s="32" t="str">
        <x:v>review_create_or_skip</x:v>
      </x:c>
      <x:c r="S72" s="32" t="str"/>
      <x:c r="T72" s="32" t="str"/>
      <x:c r="U72" s="32" t="str"/>
    </x:row>
    <x:row r="73" ht="42" customHeight="1">
      <x:c r="A73" s="32" t="str">
        <x:v>2 кв проекты 2024 rbi.xlsx::проекты 2 кв 2024::59</x:v>
      </x:c>
      <x:c r="B73" s="32" t="str">
        <x:v>2 кв Проекты 2024_RBI.xlsx</x:v>
      </x:c>
      <x:c r="C73" s="32" t="str">
        <x:v>Проекты 2 кв 2024 </x:v>
      </x:c>
      <x:c r="D73" s="32" t="n">
        <x:v>59</x:v>
      </x:c>
      <x:c r="E73" s="32" t="str">
        <x:v>ТОО Предприятие капитального строительства г. Алматы</x:v>
      </x:c>
      <x:c r="F73" s="32" t="str"/>
      <x:c r="G73" s="32" t="str"/>
      <x:c r="H73" s="32" t="str">
        <x:v>not_found</x:v>
      </x:c>
      <x:c r="I73" s="32" t="str"/>
      <x:c r="J73" s="32" t="n">
        <x:v>0</x:v>
      </x:c>
      <x:c r="K73" s="32" t="str">
        <x:v>not_found</x:v>
      </x:c>
      <x:c r="L73" s="32" t="str">
        <x:v>1. ТОО KONE KAZAKHSTAN (КОНЕ КАЗАХСТАН) - услуги по проведению инвентаризации запасов и основных средств офиса Заказчика в г. Алматы;
 [20] (0cd36fb4-e3e5-44fe-8d44-0e3b15a89336)</x:v>
      </x:c>
      <x:c r="M73" s="32" t="str"/>
      <x:c r="N73" s="32" t="str"/>
      <x:c r="O73" s="32" t="str">
        <x:v>Медекенов Марат Макунович [manager_1]</x:v>
      </x:c>
      <x:c r="P73" s="33" t="b">
        <x:v>0</x:v>
      </x:c>
      <x:c r="Q73" s="32" t="str">
        <x:v>create_candidate</x:v>
      </x:c>
      <x:c r="R73" s="32" t="str">
        <x:v>review_create_or_skip</x:v>
      </x:c>
      <x:c r="S73" s="32" t="str"/>
      <x:c r="T73" s="32" t="str"/>
      <x:c r="U73" s="32" t="str"/>
    </x:row>
    <x:row r="74" ht="42" customHeight="1">
      <x:c r="A74" s="32" t="str">
        <x:v>2 кв проекты 2024 rbi.xlsx::проекты 2 кв 2024::61</x:v>
      </x:c>
      <x:c r="B74" s="32" t="str">
        <x:v>2 кв Проекты 2024_RBI.xlsx</x:v>
      </x:c>
      <x:c r="C74" s="32" t="str">
        <x:v>Проекты 2 кв 2024 </x:v>
      </x:c>
      <x:c r="D74" s="32" t="n">
        <x:v>61</x:v>
      </x:c>
      <x:c r="E74" s="32" t="str">
        <x:v>ТОО Алматы Финанс</x:v>
      </x:c>
      <x:c r="F74" s="32" t="str"/>
      <x:c r="G74" s="32" t="str"/>
      <x:c r="H74" s="32" t="str">
        <x:v>not_found</x:v>
      </x:c>
      <x:c r="I74" s="32" t="str"/>
      <x:c r="J74" s="32" t="n">
        <x:v>0</x:v>
      </x:c>
      <x:c r="K74" s="32" t="str">
        <x:v>not_found</x:v>
      </x:c>
      <x:c r="L74" s="32" t="str">
        <x:v>1. 	АО "Социально-предпринимательская корпорация "Актобе" (за 2024-2026гг) - Закуп услуги по проведению аудита финансовой отчетности за 2024–2025-2026 годы Акционерного общества «Социально-предпринимательская
корпорация «Актобе»
Аудит за 2026 год [60] (e5039b53-76ad-4967-b953-7fbf6fda0939)
2. АО "Социально-предпринимательская корпорация "Актобе" (за 2024-2026гг) - Аудит финансовой отчетности за 2026 год
(Аудит финансовой отчетности за 2024–2025-2026 годы Акционерного общества «Социально-предпринимательская корпорация «Актобе») [60] (76ff2e58-fe2f-4fe2-a387-4a528d39ae94)
3. СПК АЛМАТЫ+ 6 ДОЧЕК. ОТДЕЛЬНЫЕ И КОНС. - АУДИТ за 2024 [60] (b973748e-753c-4996-b5cb-c08cfd4e8428)
4. 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 [60] (03813a13-459e-4d7f-ac17-8e2d050faccd)
5. ТОО «АЗИЯГАЗ ЧУНДЖА» - Услуги по аудиту финансовой отчетности для ТОО «АЗИЯГАЗ ЧУНДЖА» на 2024-2025 годы [60] (544b3c43-4d4d-46de-a303-cd6f5939b364)</x:v>
      </x:c>
      <x:c r="M74" s="32" t="str"/>
      <x:c r="N74" s="32" t="str"/>
      <x:c r="O74" s="32" t="str"/>
      <x:c r="P74" s="33" t="b">
        <x:v>0</x:v>
      </x:c>
      <x:c r="Q74" s="32" t="str">
        <x:v>create_candidate</x:v>
      </x:c>
      <x:c r="R74" s="32" t="str">
        <x:v>review_create_or_skip</x:v>
      </x:c>
      <x:c r="S74" s="32" t="str"/>
      <x:c r="T74" s="32" t="str"/>
      <x:c r="U74" s="32" t="str"/>
    </x:row>
    <x:row r="75" ht="42" customHeight="1">
      <x:c r="A75" s="32" t="str">
        <x:v>2 кв проекты 2024 rbi.xlsx::проекты 2 кв 2024::65</x:v>
      </x:c>
      <x:c r="B75" s="32" t="str">
        <x:v>2 кв Проекты 2024_RBI.xlsx</x:v>
      </x:c>
      <x:c r="C75" s="32" t="str">
        <x:v>Проекты 2 кв 2024 </x:v>
      </x:c>
      <x:c r="D75" s="32" t="n">
        <x:v>65</x:v>
      </x:c>
      <x:c r="E75" s="32" t="str">
        <x:v>ТОО Copper Exploration Group (Коппер Эксплорейшн Групп)</x:v>
      </x:c>
      <x:c r="F75" s="32" t="str">
        <x:v>Аудит ФО</x:v>
      </x:c>
      <x:c r="G75" s="32" t="str">
        <x:v>IAC Russell Bedford A+ Partners LLP</x:v>
      </x:c>
      <x:c r="H75" s="32" t="str">
        <x:v>not_found</x:v>
      </x:c>
      <x:c r="I75" s="32" t="str"/>
      <x:c r="J75" s="32" t="n">
        <x:v>0</x:v>
      </x:c>
      <x:c r="K75" s="32" t="str">
        <x:v>not_found</x:v>
      </x:c>
      <x:c r="L75" s="32" t="str">
        <x:v>1. «Berkut Mining» (Беркут Майнинг) (группа компаний АО Lancaster Group Kazakhstan) [17] (962f3649-f91b-4af2-87d2-7da045e6dda7)
2. Частная Компания «BRR Group Ltd» (2025-2027 гг) Группа компаний TRANCO [17] (7443647d-62e4-46e1-a6c3-5bb73578e778)
3. Частная Компания «BRR Group Ltd» (2025-2027 гг) Группа компаний TRANCO [17] (25b3a1a3-2f78-4d85-8fb5-430b568d97dd)
4. Частная Компания «BRR Group Ltd» (2025-2027 гг) Группа компаний TRANCO [17] (7bc5b8be-bf60-48f6-93fb-6e7401abe479)
5. Частная Компания «BRR Group Ltd» (2025-2027 гг) Группа компаний TRANCO [17] (a0cbae28-7f89-4caf-8bd3-de79e9276ef9)</x:v>
      </x:c>
      <x:c r="M75" s="32" t="str"/>
      <x:c r="N75" s="32" t="str"/>
      <x:c r="O75" s="32" t="str">
        <x:v>Сауле Бадамбаева [partner]
Альфира Хисамитдинова [assistant_1]</x:v>
      </x:c>
      <x:c r="P75" s="33" t="b">
        <x:v>0</x:v>
      </x:c>
      <x:c r="Q75" s="32" t="str">
        <x:v>create_candidate</x:v>
      </x:c>
      <x:c r="R75" s="32" t="str">
        <x:v>review_create_or_skip</x:v>
      </x:c>
      <x:c r="S75" s="32" t="str"/>
      <x:c r="T75" s="32" t="str"/>
      <x:c r="U75" s="32" t="str"/>
    </x:row>
    <x:row r="76" ht="42" customHeight="1">
      <x:c r="A76" s="32" t="str">
        <x:v>2 кв проекты 2024 rbi.xlsx::проекты 2 кв 2024::68</x:v>
      </x:c>
      <x:c r="B76" s="32" t="str">
        <x:v>2 кв Проекты 2024_RBI.xlsx</x:v>
      </x:c>
      <x:c r="C76" s="32" t="str">
        <x:v>Проекты 2 кв 2024 </x:v>
      </x:c>
      <x:c r="D76" s="32" t="n">
        <x:v>68</x:v>
      </x:c>
      <x:c r="E76" s="32" t="str">
        <x:v>КФ КНИСК</x:v>
      </x:c>
      <x:c r="F76" s="32" t="str">
        <x:v>Аудит ФО</x:v>
      </x:c>
      <x:c r="G76" s="32" t="str">
        <x:v>IAC Russell Bedford A+ Partners LLP</x:v>
      </x:c>
      <x:c r="H76" s="32" t="str">
        <x:v>not_found</x:v>
      </x:c>
      <x:c r="I76" s="32" t="str"/>
      <x:c r="J76" s="32" t="n">
        <x:v>0</x:v>
      </x:c>
      <x:c r="K76" s="32" t="str">
        <x:v>not_found</x:v>
      </x:c>
      <x:c r="L76" s="32" t="str">
        <x:v>1. АО Евразийский банк - услуги на проведение оценки независимости  Независимого директора АО "Евразийский банк" в соответствии с лучшими международными практиками OECD, IFC, КФН РК и внутренними регламентами Компании [25] (41ea130c-032f-470f-b91c-b229c48533c3)
2. КФ КНИСГ [25] (085792ce-6444-4ad1-80c3-ac27d5610703)
3. КФ КНИСГ [25] (8833444f-2f7c-4bc3-97be-45d2addd0ea6)</x:v>
      </x:c>
      <x:c r="M76" s="32" t="str"/>
      <x:c r="N76" s="32" t="str"/>
      <x:c r="O76" s="32" t="str">
        <x:v>Арнабеков Ерлан [partner]</x:v>
      </x:c>
      <x:c r="P76" s="33" t="b">
        <x:v>0</x:v>
      </x:c>
      <x:c r="Q76" s="32" t="str">
        <x:v>create_candidate</x:v>
      </x:c>
      <x:c r="R76" s="32" t="str">
        <x:v>review_create_or_skip</x:v>
      </x:c>
      <x:c r="S76" s="32" t="str"/>
      <x:c r="T76" s="32" t="str"/>
      <x:c r="U76" s="32" t="str"/>
    </x:row>
    <x:row r="77" ht="42" customHeight="1">
      <x:c r="A77" s="32" t="str">
        <x:v>2 кв проекты 2024 rbi.xlsx::проекты 2 кв 2024::74</x:v>
      </x:c>
      <x:c r="B77" s="32" t="str">
        <x:v>2 кв Проекты 2024_RBI.xlsx</x:v>
      </x:c>
      <x:c r="C77" s="32" t="str">
        <x:v>Проекты 2 кв 2024 </x:v>
      </x:c>
      <x:c r="D77" s="32" t="n">
        <x:v>74</x:v>
      </x:c>
      <x:c r="E77" s="32" t="str">
        <x:v>АО Baiterek Venture Fund</x:v>
      </x:c>
      <x:c r="F77" s="32" t="str">
        <x:v>Аудит ФО</x:v>
      </x:c>
      <x:c r="G77" s="32" t="str">
        <x:v>IAC Russell Bedford A+ Partners LLP</x:v>
      </x:c>
      <x:c r="H77" s="32" t="str">
        <x:v>not_found</x:v>
      </x:c>
      <x:c r="I77" s="32" t="str"/>
      <x:c r="J77" s="32" t="n">
        <x:v>0</x:v>
      </x:c>
      <x:c r="K77" s="32" t="str">
        <x:v>not_found</x:v>
      </x:c>
      <x:c r="L77" s="32" t="str">
        <x:v>1. 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 [31] (03813a13-459e-4d7f-ac17-8e2d050faccd)
2. Частная компания AGS Global Ventures Umbrella Fund - услуг по проведению аудита финансовой отчетности Закрытой инвестиционной компании с ограниченной ответственностью AGS Global Ventures Umbrella Fund за 2025 год
 [12] (34ebbf9d-a767-41c1-8854-e6335ac378c7)
3. Частная компания White Hill Capital Ltd - услуг по проведению аудита финансовой отчетности Ограниченного партнерства «TUMAR VENTURE FUND LP, за 2025 год (далее – «Услуги») в соответствии с МСФО и МСА  [12] (e085e3c8-af5c-4529-b1f5-b4436df6a210)</x:v>
      </x:c>
      <x:c r="M77" s="32" t="str"/>
      <x:c r="N77" s="32" t="str"/>
      <x:c r="O77" s="32" t="str">
        <x:v>Шынгыс Сартаев [partner]
Казбекова Малика [assistant_1]</x:v>
      </x:c>
      <x:c r="P77" s="33" t="b">
        <x:v>0</x:v>
      </x:c>
      <x:c r="Q77" s="32" t="str">
        <x:v>create_candidate</x:v>
      </x:c>
      <x:c r="R77" s="32" t="str">
        <x:v>review_create_or_skip</x:v>
      </x:c>
      <x:c r="S77" s="32" t="str"/>
      <x:c r="T77" s="32" t="str"/>
      <x:c r="U77" s="32" t="str"/>
    </x:row>
    <x:row r="78" ht="42" customHeight="1">
      <x:c r="A78" s="32" t="str">
        <x:v>2 кв проекты 2024 rbi.xlsx::проекты 2 кв 2024::79</x:v>
      </x:c>
      <x:c r="B78" s="32" t="str">
        <x:v>2 кв Проекты 2024_RBI.xlsx</x:v>
      </x:c>
      <x:c r="C78" s="32" t="str">
        <x:v>Проекты 2 кв 2024 </x:v>
      </x:c>
      <x:c r="D78" s="32" t="n">
        <x:v>79</x:v>
      </x:c>
      <x:c r="E78" s="32" t="str">
        <x:v>TOO COPPER Exploration Group</x:v>
      </x:c>
      <x:c r="F78" s="32" t="str">
        <x:v>Аудит ФО</x:v>
      </x:c>
      <x:c r="G78" s="32" t="str">
        <x:v>IAC Russell Bedford A+ Partners LLP</x:v>
      </x:c>
      <x:c r="H78" s="32" t="str">
        <x:v>not_found</x:v>
      </x:c>
      <x:c r="I78" s="32" t="str"/>
      <x:c r="J78" s="32" t="n">
        <x:v>0</x:v>
      </x:c>
      <x:c r="K78" s="32" t="str">
        <x:v>not_found</x:v>
      </x:c>
      <x:c r="L78" s="32" t="str">
        <x:v>1. TOO GE Green Energy  - услуг по проведению аудита финансовой отчетности за период 2024,2025,2026 [27] (991831d5-dbc6-4d06-b46f-ae98981379bf)
2. TOO ALTAI MAI аудит 2024 [15] (1339e898-ba43-4dd0-ae37-679cb6391729)</x:v>
      </x:c>
      <x:c r="M78" s="32" t="str"/>
      <x:c r="N78" s="32" t="str"/>
      <x:c r="O78" s="32" t="str">
        <x:v>Сауле Бадамбаева [partner]
Альфира Хисамитдинова [assistant_1]</x:v>
      </x:c>
      <x:c r="P78" s="33" t="b">
        <x:v>0</x:v>
      </x:c>
      <x:c r="Q78" s="32" t="str">
        <x:v>create_candidate</x:v>
      </x:c>
      <x:c r="R78" s="32" t="str">
        <x:v>review_create_or_skip</x:v>
      </x:c>
      <x:c r="S78" s="32" t="str"/>
      <x:c r="T78" s="32" t="str"/>
      <x:c r="U78" s="32" t="str"/>
    </x:row>
    <x:row r="79" ht="42" customHeight="1">
      <x:c r="A79" s="32" t="str">
        <x:v>2 кв проекты 2024 rbi.xlsx::проекты 2 кв 2024::89</x:v>
      </x:c>
      <x:c r="B79" s="32" t="str">
        <x:v>2 кв Проекты 2024_RBI.xlsx</x:v>
      </x:c>
      <x:c r="C79" s="32" t="str">
        <x:v>Проекты 2 кв 2024 </x:v>
      </x:c>
      <x:c r="D79" s="32" t="n">
        <x:v>89</x:v>
      </x:c>
      <x:c r="E79" s="32" t="str">
        <x:v>АО Усть-Каменогорские тепловые сети</x:v>
      </x:c>
      <x:c r="F79" s="32" t="str">
        <x:v>Аудит ФО</x:v>
      </x:c>
      <x:c r="G79" s="32" t="str">
        <x:v>IAC Russell Bedford A+ Partners LLP</x:v>
      </x:c>
      <x:c r="H79" s="32" t="str">
        <x:v>not_found</x:v>
      </x:c>
      <x:c r="I79" s="32" t="str"/>
      <x:c r="J79" s="32" t="n">
        <x:v>0</x:v>
      </x:c>
      <x:c r="K79" s="32" t="str">
        <x:v>not_found</x:v>
      </x:c>
      <x:c r="L79" s="32" t="str"/>
      <x:c r="M79" s="32" t="str"/>
      <x:c r="N79" s="32" t="str"/>
      <x:c r="O79" s="32" t="str">
        <x:v>Сауле Бадамбаева [partner]
Нускабаева Райхан [manager_1]
Бисенова Гульсим [assistant_1]
Сейткереев Сакен [assistant_1]
Молдагалиева Марал [assistant_1]</x:v>
      </x:c>
      <x:c r="P79" s="33" t="b">
        <x:v>0</x:v>
      </x:c>
      <x:c r="Q79" s="32" t="str">
        <x:v>create_candidate</x:v>
      </x:c>
      <x:c r="R79" s="32" t="str">
        <x:v>review_create_or_skip</x:v>
      </x:c>
      <x:c r="S79" s="32" t="str"/>
      <x:c r="T79" s="32" t="str"/>
      <x:c r="U79" s="32" t="str"/>
    </x:row>
    <x:row r="80" ht="42" customHeight="1">
      <x:c r="A80" s="32" t="str">
        <x:v>2 кв проекты 2024 rbi.xlsx::спец аудит 2024 2 кв::2</x:v>
      </x:c>
      <x:c r="B80" s="32" t="str">
        <x:v>2 кв Проекты 2024_RBI.xlsx</x:v>
      </x:c>
      <x:c r="C80" s="32" t="str">
        <x:v>спец аудит 2024 2 кв</x:v>
      </x:c>
      <x:c r="D80" s="32" t="n">
        <x:v>2</x:v>
      </x:c>
      <x:c r="E80" s="32" t="str">
        <x:v>НАО Карагандинский технический университет им. Абылкаса Сагинова</x:v>
      </x:c>
      <x:c r="F80" s="32" t="str">
        <x:v>спец аудит</x:v>
      </x:c>
      <x:c r="G80" s="32" t="str">
        <x:v>IAC Russell Bedford A+ Partners LLP</x:v>
      </x:c>
      <x:c r="H80" s="32" t="str">
        <x:v>not_found</x:v>
      </x:c>
      <x:c r="I80" s="32" t="str"/>
      <x:c r="J80" s="32" t="n">
        <x:v>0</x:v>
      </x:c>
      <x:c r="K80" s="32" t="str">
        <x:v>not_found</x:v>
      </x:c>
      <x:c r="L80" s="32" t="str">
        <x:v>1. НАО «Евразийский национальный университет имени Л.Н.Гумилева» [14] (d78614ea-98fe-4a5c-88c2-91a20ad68478)</x:v>
      </x:c>
      <x:c r="M80" s="32" t="str"/>
      <x:c r="N80" s="32" t="str"/>
      <x:c r="O80" s="32" t="str"/>
      <x:c r="P80" s="33" t="b">
        <x:v>0</x:v>
      </x:c>
      <x:c r="Q80" s="32" t="str">
        <x:v>create_candidate</x:v>
      </x:c>
      <x:c r="R80" s="32" t="str">
        <x:v>review_create_or_skip</x:v>
      </x:c>
      <x:c r="S80" s="32" t="str"/>
      <x:c r="T80" s="32" t="str"/>
      <x:c r="U80" s="32" t="str"/>
    </x:row>
    <x:row r="81" ht="42" customHeight="1">
      <x:c r="A81" s="32" t="str">
        <x:v>2 кв проекты 2024 rbi.xlsx::спец аудит 2024 2 кв::9</x:v>
      </x:c>
      <x:c r="B81" s="32" t="str">
        <x:v>2 кв Проекты 2024_RBI.xlsx</x:v>
      </x:c>
      <x:c r="C81" s="32" t="str">
        <x:v>спец аудит 2024 2 кв</x:v>
      </x:c>
      <x:c r="D81" s="32" t="n">
        <x:v>9</x:v>
      </x:c>
      <x:c r="E81" s="32" t="str">
        <x:v>ОФ БІЛІМ БОЛАШАҒЫ</x:v>
      </x:c>
      <x:c r="F81" s="32" t="str"/>
      <x:c r="G81" s="32" t="str"/>
      <x:c r="H81" s="32" t="str">
        <x:v>not_found</x:v>
      </x:c>
      <x:c r="I81" s="32" t="str"/>
      <x:c r="J81" s="32" t="n">
        <x:v>0</x:v>
      </x:c>
      <x:c r="K81" s="32" t="str">
        <x:v>not_found</x:v>
      </x:c>
      <x:c r="L81" s="32" t="str">
        <x:v>1. Общественный фонд «БІЛІМ БОЛАШАҒЫ» Аудит ФО за 2022 год [33] (edc21f97-2e37-40b6-92ff-214c19700d0c)</x:v>
      </x:c>
      <x:c r="M81" s="32" t="str"/>
      <x:c r="N81" s="32" t="str"/>
      <x:c r="O81" s="32" t="str"/>
      <x:c r="P81" s="33" t="b">
        <x:v>0</x:v>
      </x:c>
      <x:c r="Q81" s="32" t="str">
        <x:v>create_candidate</x:v>
      </x:c>
      <x:c r="R81" s="32" t="str">
        <x:v>review_create_or_skip</x:v>
      </x:c>
      <x:c r="S81" s="32" t="str"/>
      <x:c r="T81" s="32" t="str"/>
      <x:c r="U81" s="32" t="str"/>
    </x:row>
    <x:row r="82" ht="42" customHeight="1">
      <x:c r="A82" s="32" t="str">
        <x:v>2 кв проекты 2024 rbi.xlsx::спец аудит 2024 2 кв::10</x:v>
      </x:c>
      <x:c r="B82" s="32" t="str">
        <x:v>2 кв Проекты 2024_RBI.xlsx</x:v>
      </x:c>
      <x:c r="C82" s="32" t="str">
        <x:v>спец аудит 2024 2 кв</x:v>
      </x:c>
      <x:c r="D82" s="32" t="n">
        <x:v>10</x:v>
      </x:c>
      <x:c r="E82" s="32" t="str">
        <x:v>Проект по реконструкции автодороги " Актобе- Макат" соединяющий Коридоры 1 и 6 ЦАРЕЦ", финансируемый в рамках соглашения № 3416 - KAZ, заключенного между Правительством РК и АБР</x:v>
      </x:c>
      <x:c r="F82" s="32" t="str">
        <x:v>спец аудит</x:v>
      </x:c>
      <x:c r="G82" s="32" t="str">
        <x:v>IAC Russell Bedford A+ Partners LLP</x:v>
      </x:c>
      <x:c r="H82" s="32" t="str">
        <x:v>not_found</x:v>
      </x:c>
      <x:c r="I82" s="32" t="str"/>
      <x:c r="J82" s="32" t="n">
        <x:v>0</x:v>
      </x:c>
      <x:c r="K82" s="32" t="str">
        <x:v>not_found</x:v>
      </x:c>
      <x:c r="L82" s="32" t="str">
        <x:v>1. ТОО «ALTAI MAI» - Аудит финансовой отчетности ТОО «ALTAI MAI» за период с 1 января 2024 года по 31 декабря 2024 года, подготовленной в соответствии с Международными Стандартами Финансовой Отчетности и проверка входящего сальдо 2023 года [57] (7dcaeb80-edc7-4849-a6b5-130e9149fc97)
2. 	АО "Социально-предпринимательская корпорация "Актобе" (за 2024-2026гг) - Закуп услуги по проведению аудита финансовой отчетности за 2024–2025-2026 годы Акционерного общества «Социально-предпринимательская
корпорация «Актобе»
Аудит за 2026 год [52] (e5039b53-76ad-4967-b953-7fbf6fda0939)
3. АО "Социально-предпринимательская корпорация "Актобе" (за 2024-2026гг) - Аудит финансовой отчетности за 2026 год
(Аудит финансовой отчетности за 2024–2025-2026 годы Акционерного общества «Социально-предпринимательская корпорация «Актобе») [52] (76ff2e58-fe2f-4fe2-a387-4a528d39ae94)
4. АО "Социально-предпринимательская корпорация "Актобе" (за 2024-2026гг) [40] (12846dc0-ed5b-4c68-a02a-a3c752de18fc)
5. АО "Социально-предпринимательская корпорация "Актобе" (за 2024-2026гг) [40] (86257a36-88eb-4d90-865c-bbfc150a7f7c)</x:v>
      </x:c>
      <x:c r="M82" s="32" t="str"/>
      <x:c r="N82" s="32" t="str"/>
      <x:c r="O82" s="32" t="str">
        <x:v>Арнабеков Ерлан [partner]
Исалиева Кулбала [assistant_1]</x:v>
      </x:c>
      <x:c r="P82" s="33" t="b">
        <x:v>0</x:v>
      </x:c>
      <x:c r="Q82" s="32" t="str">
        <x:v>create_candidate</x:v>
      </x:c>
      <x:c r="R82" s="32" t="str">
        <x:v>review_create_or_skip</x:v>
      </x:c>
      <x:c r="S82" s="32" t="str"/>
      <x:c r="T82" s="32" t="str"/>
      <x:c r="U82" s="32" t="str"/>
    </x:row>
    <x:row r="83" ht="42" customHeight="1">
      <x:c r="A83" s="32" t="str">
        <x:v>2 кв проекты 2024 rbi.xlsx::консульт услуги 2024 2 кв::3</x:v>
      </x:c>
      <x:c r="B83" s="32" t="str">
        <x:v>2 кв Проекты 2024_RBI.xlsx</x:v>
      </x:c>
      <x:c r="C83" s="32" t="str">
        <x:v>консульт услуги 2024 2 кв</x:v>
      </x:c>
      <x:c r="D83" s="32" t="n">
        <x:v>3</x:v>
      </x:c>
      <x:c r="E83" s="32" t="str">
        <x:v>РГУ МинФин РК</x:v>
      </x:c>
      <x:c r="F83" s="32" t="str"/>
      <x:c r="G83" s="32" t="str"/>
      <x:c r="H83" s="32" t="str">
        <x:v>not_found</x:v>
      </x:c>
      <x:c r="I83" s="32" t="str"/>
      <x:c r="J83" s="32" t="n">
        <x:v>0</x:v>
      </x:c>
      <x:c r="K83" s="32" t="str">
        <x:v>not_found</x:v>
      </x:c>
      <x:c r="L83" s="32" t="str"/>
      <x:c r="M83" s="32" t="str"/>
      <x:c r="N83" s="32" t="str"/>
      <x:c r="O83" s="32" t="str"/>
      <x:c r="P83" s="33" t="b">
        <x:v>0</x:v>
      </x:c>
      <x:c r="Q83" s="32" t="str">
        <x:v>create_candidate</x:v>
      </x:c>
      <x:c r="R83" s="32" t="str">
        <x:v>review_create_or_skip</x:v>
      </x:c>
      <x:c r="S83" s="32" t="str"/>
      <x:c r="T83" s="32" t="str"/>
      <x:c r="U83" s="32" t="str"/>
    </x:row>
    <x:row r="84" ht="42" customHeight="1">
      <x:c r="A84" s="32" t="str">
        <x:v>2 кв проекты 2025 rbi.xlsx::проекты 2 кв 2025::4</x:v>
      </x:c>
      <x:c r="B84" s="32" t="str">
        <x:v>2 кв Проекты 2025_RBI.xlsx</x:v>
      </x:c>
      <x:c r="C84" s="32" t="str">
        <x:v>Проекты 2 кв 2025</x:v>
      </x:c>
      <x:c r="D84" s="32" t="n">
        <x:v>4</x:v>
      </x:c>
      <x:c r="E84" s="32" t="str">
        <x:v>New Dawn Chartered Accountants</x:v>
      </x:c>
      <x:c r="F84" s="32" t="str">
        <x:v>Аудит ФО</x:v>
      </x:c>
      <x:c r="G84" s="32" t="str">
        <x:v>ТОО Russell Bedford A+ Partners</x:v>
      </x:c>
      <x:c r="H84" s="32" t="str">
        <x:v>not_found</x:v>
      </x:c>
      <x:c r="I84" s="32" t="str"/>
      <x:c r="J84" s="32" t="n">
        <x:v>0</x:v>
      </x:c>
      <x:c r="K84" s="32" t="str">
        <x:v>not_found</x:v>
      </x:c>
      <x:c r="L84" s="32" t="str">
        <x:v>1. Newdawn in Lesotho - Обзор качества взаимодействия - Первый национальный банк Lesotho Limited [25] (641585ab-b9e0-4e0d-8047-d7cddd52644a)</x:v>
      </x:c>
      <x:c r="M84" s="32" t="str"/>
      <x:c r="N84" s="32" t="str"/>
      <x:c r="O84" s="32" t="str">
        <x:v>Шынгыс Сартаев [partner]</x:v>
      </x:c>
      <x:c r="P84" s="33" t="b">
        <x:v>0</x:v>
      </x:c>
      <x:c r="Q84" s="32" t="str">
        <x:v>create_candidate</x:v>
      </x:c>
      <x:c r="R84" s="32" t="str">
        <x:v>review_create_or_skip</x:v>
      </x:c>
      <x:c r="S84" s="32" t="str"/>
      <x:c r="T84" s="32" t="str"/>
      <x:c r="U84" s="32" t="str"/>
    </x:row>
    <x:row r="85" ht="42" customHeight="1">
      <x:c r="A85" s="32" t="str">
        <x:v>2 кв проекты 2025 rbi.xlsx::проекты 2 кв 2025::23</x:v>
      </x:c>
      <x:c r="B85" s="32" t="str">
        <x:v>2 кв Проекты 2025_RBI.xlsx</x:v>
      </x:c>
      <x:c r="C85" s="32" t="str">
        <x:v>Проекты 2 кв 2025</x:v>
      </x:c>
      <x:c r="D85" s="32" t="n">
        <x:v>23</x:v>
      </x:c>
      <x:c r="E85" s="32" t="str">
        <x:v>ТОО RUIT ALUGAL</x:v>
      </x:c>
      <x:c r="F85" s="32" t="str">
        <x:v>Аудит ФО</x:v>
      </x:c>
      <x:c r="G85" s="32" t="str">
        <x:v>ТОО Russell Bedford A+ Partners</x:v>
      </x:c>
      <x:c r="H85" s="32" t="str">
        <x:v>not_found</x:v>
      </x:c>
      <x:c r="I85" s="32" t="str"/>
      <x:c r="J85" s="32" t="n">
        <x:v>0</x:v>
      </x:c>
      <x:c r="K85" s="32" t="str">
        <x:v>not_found</x:v>
      </x:c>
      <x:c r="L85" s="32" t="str"/>
      <x:c r="M85" s="32" t="str"/>
      <x:c r="N85" s="32" t="str"/>
      <x:c r="O85" s="32" t="str">
        <x:v>Арнабеков Ерлан [partner]
Ембердиев Ермек [partner]</x:v>
      </x:c>
      <x:c r="P85" s="33" t="b">
        <x:v>0</x:v>
      </x:c>
      <x:c r="Q85" s="32" t="str">
        <x:v>create_candidate</x:v>
      </x:c>
      <x:c r="R85" s="32" t="str">
        <x:v>review_create_or_skip</x:v>
      </x:c>
      <x:c r="S85" s="32" t="str"/>
      <x:c r="T85" s="32" t="str"/>
      <x:c r="U85" s="32" t="str"/>
    </x:row>
    <x:row r="86" ht="42" customHeight="1">
      <x:c r="A86" s="32" t="str">
        <x:v>2 кв проекты 2025 rbi.xlsx::проекты 2 кв 2025::26</x:v>
      </x:c>
      <x:c r="B86" s="32" t="str">
        <x:v>2 кв Проекты 2025_RBI.xlsx</x:v>
      </x:c>
      <x:c r="C86" s="32" t="str">
        <x:v>Проекты 2 кв 2025</x:v>
      </x:c>
      <x:c r="D86" s="32" t="n">
        <x:v>26</x:v>
      </x:c>
      <x:c r="E86" s="32" t="str">
        <x:v>ТОО іQ-SOLUTIONS</x:v>
      </x:c>
      <x:c r="F86" s="32" t="str">
        <x:v>Аудит ФО</x:v>
      </x:c>
      <x:c r="G86" s="32" t="str">
        <x:v>ТОО Russell Bedford A+ Partners</x:v>
      </x:c>
      <x:c r="H86" s="32" t="str">
        <x:v>not_found</x:v>
      </x:c>
      <x:c r="I86" s="32" t="str"/>
      <x:c r="J86" s="32" t="n">
        <x:v>0</x:v>
      </x:c>
      <x:c r="K86" s="32" t="str">
        <x:v>not_found</x:v>
      </x:c>
      <x:c r="L86" s="32" t="str">
        <x:v>1. ТОО «iQ-Solutions» [25] (be364640-1303-4487-a3a9-a00078e30d6a)
2. ТОО «SB-Solutions» [25] (55fbe3a6-eea5-433d-9e1f-09acb94d40ff)
3. ТОО «SB-Solutions» [25] (19794b0f-01e3-43fd-8fec-001f89f1120d)
4. ТОО «SB-Solutions» [25] (a69c1838-1698-4d98-8644-032d764c75ee)
5. ТОО «Sigma solutions» [25] (b49bc81a-9096-4710-8afa-574a892de687)</x:v>
      </x:c>
      <x:c r="M86" s="32" t="str"/>
      <x:c r="N86" s="32" t="str"/>
      <x:c r="O86" s="32" t="str">
        <x:v>Кенжекулов Адилжан Абдикалыкович [partner]</x:v>
      </x:c>
      <x:c r="P86" s="33" t="b">
        <x:v>0</x:v>
      </x:c>
      <x:c r="Q86" s="32" t="str">
        <x:v>create_candidate</x:v>
      </x:c>
      <x:c r="R86" s="32" t="str">
        <x:v>review_create_or_skip</x:v>
      </x:c>
      <x:c r="S86" s="32" t="str"/>
      <x:c r="T86" s="32" t="str"/>
      <x:c r="U86" s="32" t="str"/>
    </x:row>
    <x:row r="87" ht="42" customHeight="1">
      <x:c r="A87" s="32" t="str">
        <x:v>2 кв проекты 2025 rbi.xlsx::проекты 2 кв 2025::40</x:v>
      </x:c>
      <x:c r="B87" s="32" t="str">
        <x:v>2 кв Проекты 2025_RBI.xlsx</x:v>
      </x:c>
      <x:c r="C87" s="32" t="str">
        <x:v>Проекты 2 кв 2025</x:v>
      </x:c>
      <x:c r="D87" s="32" t="n">
        <x:v>40</x:v>
      </x:c>
      <x:c r="E87" s="32" t="str">
        <x:v>КФ КНИСК</x:v>
      </x:c>
      <x:c r="F87" s="32" t="str">
        <x:v>Аудит ФО</x:v>
      </x:c>
      <x:c r="G87" s="32" t="str">
        <x:v>ТОО Russell Bedford A+ Partners</x:v>
      </x:c>
      <x:c r="H87" s="32" t="str">
        <x:v>not_found</x:v>
      </x:c>
      <x:c r="I87" s="32" t="str"/>
      <x:c r="J87" s="32" t="n">
        <x:v>0</x:v>
      </x:c>
      <x:c r="K87" s="32" t="str">
        <x:v>not_found</x:v>
      </x:c>
      <x:c r="L87" s="32" t="str">
        <x:v>1. АО Евразийский банк - услуги на проведение оценки независимости  Независимого директора АО "Евразийский банк" в соответствии с лучшими международными практиками OECD, IFC, КФН РК и внутренними регламентами Компании [25] (41ea130c-032f-470f-b91c-b229c48533c3)
2. КФ КНИСГ [25] (085792ce-6444-4ad1-80c3-ac27d5610703)
3. КФ КНИСГ [25] (8833444f-2f7c-4bc3-97be-45d2addd0ea6)</x:v>
      </x:c>
      <x:c r="M87" s="32" t="str"/>
      <x:c r="N87" s="32" t="str"/>
      <x:c r="O87" s="32" t="str">
        <x:v>Арнабеков Ерлан [partner]</x:v>
      </x:c>
      <x:c r="P87" s="33" t="b">
        <x:v>0</x:v>
      </x:c>
      <x:c r="Q87" s="32" t="str">
        <x:v>create_candidate</x:v>
      </x:c>
      <x:c r="R87" s="32" t="str">
        <x:v>review_create_or_skip</x:v>
      </x:c>
      <x:c r="S87" s="32" t="str"/>
      <x:c r="T87" s="32" t="str"/>
      <x:c r="U87" s="32" t="str"/>
    </x:row>
    <x:row r="88" ht="42" customHeight="1">
      <x:c r="A88" s="32" t="str">
        <x:v>2 кв проекты 2025 rbi.xlsx::проекты 2 кв 2025::47</x:v>
      </x:c>
      <x:c r="B88" s="32" t="str">
        <x:v>2 кв Проекты 2025_RBI.xlsx</x:v>
      </x:c>
      <x:c r="C88" s="32" t="str">
        <x:v>Проекты 2 кв 2025</x:v>
      </x:c>
      <x:c r="D88" s="32" t="n">
        <x:v>47</x:v>
      </x:c>
      <x:c r="E88" s="32" t="str">
        <x:v>ТОО STARK ALPHA (СТАРК АЛЬФА)</x:v>
      </x:c>
      <x:c r="F88" s="32" t="str">
        <x:v>Аудит ФО</x:v>
      </x:c>
      <x:c r="G88" s="32" t="str">
        <x:v>ТОО Russell Bedford A+ Partners</x:v>
      </x:c>
      <x:c r="H88" s="32" t="str">
        <x:v>not_found</x:v>
      </x:c>
      <x:c r="I88" s="32" t="str"/>
      <x:c r="J88" s="32" t="n">
        <x:v>0</x:v>
      </x:c>
      <x:c r="K88" s="32" t="str">
        <x:v>not_found</x:v>
      </x:c>
      <x:c r="L88" s="32" t="str"/>
      <x:c r="M88" s="32" t="str"/>
      <x:c r="N88" s="32" t="str"/>
      <x:c r="O88" s="32" t="str">
        <x:v>Арнабеков Ерлан [partner]
Ембердиев Ермек [manager_1]</x:v>
      </x:c>
      <x:c r="P88" s="33" t="b">
        <x:v>0</x:v>
      </x:c>
      <x:c r="Q88" s="32" t="str">
        <x:v>create_candidate</x:v>
      </x:c>
      <x:c r="R88" s="32" t="str">
        <x:v>review_create_or_skip</x:v>
      </x:c>
      <x:c r="S88" s="32" t="str"/>
      <x:c r="T88" s="32" t="str"/>
      <x:c r="U88" s="32" t="str"/>
    </x:row>
    <x:row r="89" ht="42" customHeight="1">
      <x:c r="A89" s="32" t="str">
        <x:v>2 кв проекты 2025 rbi.xlsx::спец аудит 2025 2 кв::2</x:v>
      </x:c>
      <x:c r="B89" s="32" t="str">
        <x:v>2 кв Проекты 2025_RBI.xlsx</x:v>
      </x:c>
      <x:c r="C89" s="32" t="str">
        <x:v>спец аудит 2025 2 кв</x:v>
      </x:c>
      <x:c r="D89" s="32" t="n">
        <x:v>2</x:v>
      </x:c>
      <x:c r="E89" s="32" t="str">
        <x:v>РГУ Минфин РК Проект реконструкции автодороги " Макат - Актробе, соединяющий Коридоры 1 и 6 ЦАРЕЦ, финансируемый в рамках соглашения № 3416 - KAZ, заключенного между Правительством РК и АБР</x:v>
      </x:c>
      <x:c r="F89" s="32" t="str"/>
      <x:c r="G89" s="32" t="str">
        <x:v>ТОО МАК Russell Bedford A+ Partners</x:v>
      </x:c>
      <x:c r="H89" s="32" t="str">
        <x:v>not_found</x:v>
      </x:c>
      <x:c r="I89" s="32" t="str"/>
      <x:c r="J89" s="32" t="n">
        <x:v>0</x:v>
      </x:c>
      <x:c r="K89" s="32" t="str">
        <x:v>not_found</x:v>
      </x:c>
      <x:c r="L89" s="32" t="str">
        <x:v>1. Республиканское государственное учреждение «Министерство финансов Республики Казахстан» - Аудита инвестиционных проектов, финансируемых Международным Банком Реконструкции и Развития (МБРР), за период с 1 января 2025 года по 31 декабря 2025 года
 [44] (3202cb3a-9f27-416d-afc1-d240bd4cfa33)
2. Частная Компания Ellington Group KAZ Ltd - оказывает услуги по проведению аудита финансовой отчетности Частной Компании Ellington Group KAZ Ltd., подготовленной в соответствии с международными стандартами финансовой отчетности за год, завершающийся 31 декабря 2025 года. Валюта презентации финансовой отчетности – тенге (согласно Приложению №1 и №2 к Договору). [44] (cfdebe19-26f6-4d30-b77e-f6d3269c84aa)
3. Товарищество с ограниченной ответственностью «Crown Star» - услуг по проведению аудита комбинированной финансовой отчетности 8 компании (ТОО «Crown Star», ИП  «Мадина Оручева», ИП «Гульмамедов», ИП «МАНГО», ИП «Сулиева», ИП «Севастьянова», «H.N.S.» Turizm Insaat Elektronik Sanayi Ve Ticaret A.S. (Х.Н.С.» Туризм Иншаат Элетроник Санайи Ве Тиджарет Аноним Ширкети) и АО «H.N.S.» Turizm Insaat Elektronik Sanayi Ve Ticaret A.S.») за 2025 год, подготовленной в соответствии с международными стандартами финансовой отчетности (МСФО)  [42] (6de1b073-f432-4e40-905f-2deb60df3dd2)
4. Частная комапания «Kazakhstan Investment Development Fund (KIDF) Management Company»  - Аудит финансовой отчетности (далее – финансовая отчетность) «Direct Investment Fund «Kazakhstan Investment Development Fund (КIDF)» Ltd. (далее – KIDF), подготовленной в соответствии с Международными Стандартами Финансовой Отчетности (далее - МСФО) по состоянию на и за год, завершившийся 31 декабря 2025 года: [42] (63a9c971-6408-41ea-ac6c-63991b4651de)
5. Частная Компания «Kazakhstan Investment Development Fund (KIDF) Management Company» Ltd. - услуги по проведению аудита финансовой отчетности (далее – финансовая отчетность) Частной компании «Kazakhstan Investment Development Fund (KIDF) Management Company» Ltd. (далее – KIDF), подготовленной в соответствии с Международными Стандартами Финансовой Отчетности (далее - МСФО) по состоянию на и за год, завершившийся 31 декабря 2025 года [42] (8a0341c5-d915-4e7d-a535-df88c5ff8c30)</x:v>
      </x:c>
      <x:c r="M89" s="32" t="str"/>
      <x:c r="N89" s="32" t="str"/>
      <x:c r="O89" s="32" t="str">
        <x:v>Кудайбергенова Шолпанай [partner]
Алдонгаров Газиз Сериккалиевич [manager_1]</x:v>
      </x:c>
      <x:c r="P89" s="33" t="b">
        <x:v>0</x:v>
      </x:c>
      <x:c r="Q89" s="32" t="str">
        <x:v>create_candidate</x:v>
      </x:c>
      <x:c r="R89" s="32" t="str">
        <x:v>review_create_or_skip</x:v>
      </x:c>
      <x:c r="S89" s="32" t="str"/>
      <x:c r="T89" s="32" t="str"/>
      <x:c r="U89" s="32" t="str"/>
    </x:row>
    <x:row r="90" ht="42" customHeight="1">
      <x:c r="A90" s="32" t="str">
        <x:v>2 кв проекты 2025 rbi.xlsx::спец аудит 2025 2 кв::6</x:v>
      </x:c>
      <x:c r="B90" s="32" t="str">
        <x:v>2 кв Проекты 2025_RBI.xlsx</x:v>
      </x:c>
      <x:c r="C90" s="32" t="str">
        <x:v>спец аудит 2025 2 кв</x:v>
      </x:c>
      <x:c r="D90" s="32" t="n">
        <x:v>6</x:v>
      </x:c>
      <x:c r="E90" s="32" t="str">
        <x:v>ТОО GLK Extrusions</x:v>
      </x:c>
      <x:c r="F90" s="32" t="str"/>
      <x:c r="G90" s="32" t="str"/>
      <x:c r="H90" s="32" t="str">
        <x:v>not_found</x:v>
      </x:c>
      <x:c r="I90" s="32" t="str"/>
      <x:c r="J90" s="32" t="n">
        <x:v>0</x:v>
      </x:c>
      <x:c r="K90" s="32" t="str">
        <x:v>not_found</x:v>
      </x:c>
      <x:c r="L90" s="32" t="str"/>
      <x:c r="M90" s="32" t="str"/>
      <x:c r="N90" s="32" t="str"/>
      <x:c r="O90" s="32" t="str"/>
      <x:c r="P90" s="33" t="b">
        <x:v>0</x:v>
      </x:c>
      <x:c r="Q90" s="32" t="str">
        <x:v>create_candidate</x:v>
      </x:c>
      <x:c r="R90" s="32" t="str">
        <x:v>review_create_or_skip</x:v>
      </x:c>
      <x:c r="S90" s="32" t="str"/>
      <x:c r="T90" s="32" t="str"/>
      <x:c r="U90" s="32" t="str"/>
    </x:row>
    <x:row r="91" ht="42" customHeight="1">
      <x:c r="A91" s="32" t="str">
        <x:v>2 кв проекты 2025 rbi.xlsx::консульт услуги 2025 2 кв::2</x:v>
      </x:c>
      <x:c r="B91" s="32" t="str">
        <x:v>2 кв Проекты 2025_RBI.xlsx</x:v>
      </x:c>
      <x:c r="C91" s="32" t="str">
        <x:v>консульт услуги 2025 2 кв</x:v>
      </x:c>
      <x:c r="D91" s="32" t="n">
        <x:v>2</x:v>
      </x:c>
      <x:c r="E91" s="32" t="str">
        <x:v>Baby mining TOO</x:v>
      </x:c>
      <x:c r="F91" s="32" t="str"/>
      <x:c r="G91" s="32" t="str"/>
      <x:c r="H91" s="32" t="str">
        <x:v>not_found</x:v>
      </x:c>
      <x:c r="I91" s="32" t="str"/>
      <x:c r="J91" s="32" t="n">
        <x:v>0</x:v>
      </x:c>
      <x:c r="K91" s="32" t="str">
        <x:v>not_found</x:v>
      </x:c>
      <x:c r="L91" s="32" t="str"/>
      <x:c r="M91" s="32" t="str"/>
      <x:c r="N91" s="32" t="str"/>
      <x:c r="O91" s="32" t="str"/>
      <x:c r="P91" s="33" t="b">
        <x:v>0</x:v>
      </x:c>
      <x:c r="Q91" s="32" t="str">
        <x:v>create_candidate</x:v>
      </x:c>
      <x:c r="R91" s="32" t="str">
        <x:v>review_create_or_skip</x:v>
      </x:c>
      <x:c r="S91" s="32" t="str"/>
      <x:c r="T91" s="32" t="str"/>
      <x:c r="U91" s="32" t="str"/>
    </x:row>
    <x:row r="92" ht="42" customHeight="1">
      <x:c r="A92" s="32" t="str">
        <x:v>3 кв проекты 2024 rbi.xlsx::проекты 3 кв 2024::23</x:v>
      </x:c>
      <x:c r="B92" s="32" t="str">
        <x:v>3 кв Проекты 2024_RBI.xlsx</x:v>
      </x:c>
      <x:c r="C92" s="32" t="str">
        <x:v>Проекты 3 кв 2024 </x:v>
      </x:c>
      <x:c r="D92" s="32" t="n">
        <x:v>23</x:v>
      </x:c>
      <x:c r="E92" s="32" t="str">
        <x:v>ТОО «Fittings Factory»</x:v>
      </x:c>
      <x:c r="F92" s="32" t="str">
        <x:v>Аудит ФО</x:v>
      </x:c>
      <x:c r="G92" s="32" t="str">
        <x:v>IAC Russell Bedford A+ Partners LLP</x:v>
      </x:c>
      <x:c r="H92" s="32" t="str">
        <x:v>not_found</x:v>
      </x:c>
      <x:c r="I92" s="32" t="str"/>
      <x:c r="J92" s="32" t="n">
        <x:v>0</x:v>
      </x:c>
      <x:c r="K92" s="32" t="str">
        <x:v>not_found</x:v>
      </x:c>
      <x:c r="L92" s="32" t="str"/>
      <x:c r="M92" s="32" t="str"/>
      <x:c r="N92" s="32" t="str"/>
      <x:c r="O92" s="32" t="str">
        <x:v>Арнабеков Ерлан [partner]</x:v>
      </x:c>
      <x:c r="P92" s="33" t="b">
        <x:v>0</x:v>
      </x:c>
      <x:c r="Q92" s="32" t="str">
        <x:v>create_candidate</x:v>
      </x:c>
      <x:c r="R92" s="32" t="str">
        <x:v>review_create_or_skip</x:v>
      </x:c>
      <x:c r="S92" s="32" t="str"/>
      <x:c r="T92" s="32" t="str"/>
      <x:c r="U92" s="32" t="str"/>
    </x:row>
    <x:row r="93" ht="42" customHeight="1">
      <x:c r="A93" s="32" t="str">
        <x:v>3 кв проекты 2024 rbi.xlsx::проекты 3 кв 2024::24</x:v>
      </x:c>
      <x:c r="B93" s="32" t="str">
        <x:v>3 кв Проекты 2024_RBI.xlsx</x:v>
      </x:c>
      <x:c r="C93" s="32" t="str">
        <x:v>Проекты 3 кв 2024 </x:v>
      </x:c>
      <x:c r="D93" s="32" t="n">
        <x:v>24</x:v>
      </x:c>
      <x:c r="E93" s="32" t="str">
        <x:v>ТОО NOVUS POLYMER</x:v>
      </x:c>
      <x:c r="F93" s="32" t="str">
        <x:v>Аудит ФО</x:v>
      </x:c>
      <x:c r="G93" s="32" t="str">
        <x:v>IAC Russell Bedford A+ Partners LLP</x:v>
      </x:c>
      <x:c r="H93" s="32" t="str">
        <x:v>not_found</x:v>
      </x:c>
      <x:c r="I93" s="32" t="str"/>
      <x:c r="J93" s="32" t="n">
        <x:v>0</x:v>
      </x:c>
      <x:c r="K93" s="32" t="str">
        <x:v>not_found</x:v>
      </x:c>
      <x:c r="L93" s="32" t="str"/>
      <x:c r="M93" s="32" t="str"/>
      <x:c r="N93" s="32" t="str"/>
      <x:c r="O93" s="32" t="str">
        <x:v>Арнабеков Ерлан [partner]</x:v>
      </x:c>
      <x:c r="P93" s="33" t="b">
        <x:v>0</x:v>
      </x:c>
      <x:c r="Q93" s="32" t="str">
        <x:v>create_candidate</x:v>
      </x:c>
      <x:c r="R93" s="32" t="str">
        <x:v>review_create_or_skip</x:v>
      </x:c>
      <x:c r="S93" s="32" t="str"/>
      <x:c r="T93" s="32" t="str"/>
      <x:c r="U93" s="32" t="str"/>
    </x:row>
    <x:row r="94" ht="42" customHeight="1">
      <x:c r="A94" s="32" t="str">
        <x:v>3 кв проекты 2024 rbi.xlsx::консульт услуги 2024 3 кв::2</x:v>
      </x:c>
      <x:c r="B94" s="32" t="str">
        <x:v>3 кв Проекты 2024_RBI.xlsx</x:v>
      </x:c>
      <x:c r="C94" s="32" t="str">
        <x:v>консульт услуги 2024 3 кв</x:v>
      </x:c>
      <x:c r="D94" s="32" t="n">
        <x:v>2</x:v>
      </x:c>
      <x:c r="E94" s="32" t="str">
        <x:v>Sapargali Azamat Askarul</x:v>
      </x:c>
      <x:c r="F94" s="32" t="str">
        <x:v>отчет о задании по выполнению согласованных процедур</x:v>
      </x:c>
      <x:c r="G94" s="32" t="str">
        <x:v>ТОО Russell Bedford A+ Partners</x:v>
      </x:c>
      <x:c r="H94" s="32" t="str">
        <x:v>not_found</x:v>
      </x:c>
      <x:c r="I94" s="32" t="str"/>
      <x:c r="J94" s="32" t="n">
        <x:v>0</x:v>
      </x:c>
      <x:c r="K94" s="32" t="str">
        <x:v>not_found</x:v>
      </x:c>
      <x:c r="L94" s="32" t="str"/>
      <x:c r="M94" s="32" t="str"/>
      <x:c r="N94" s="32" t="str"/>
      <x:c r="O94" s="32" t="str">
        <x:v>Медекенов Марат Макунович [manager_1]</x:v>
      </x:c>
      <x:c r="P94" s="33" t="b">
        <x:v>0</x:v>
      </x:c>
      <x:c r="Q94" s="32" t="str">
        <x:v>create_candidate</x:v>
      </x:c>
      <x:c r="R94" s="32" t="str">
        <x:v>review_create_or_skip</x:v>
      </x:c>
      <x:c r="S94" s="32" t="str"/>
      <x:c r="T94" s="32" t="str"/>
      <x:c r="U94" s="32" t="str"/>
    </x:row>
    <x:row r="95" ht="42" customHeight="1">
      <x:c r="A95" s="32" t="str">
        <x:v>3 кв проекты 2024 rbi.xlsx::консульт услуги 2024 3 кв::3</x:v>
      </x:c>
      <x:c r="B95" s="32" t="str">
        <x:v>3 кв Проекты 2024_RBI.xlsx</x:v>
      </x:c>
      <x:c r="C95" s="32" t="str">
        <x:v>консульт услуги 2024 3 кв</x:v>
      </x:c>
      <x:c r="D95" s="32" t="n">
        <x:v>3</x:v>
      </x:c>
      <x:c r="E95" s="32" t="str">
        <x:v>Central Asian Electric Power Corporation JSC</x:v>
      </x:c>
      <x:c r="F95" s="32" t="str"/>
      <x:c r="G95" s="32" t="str">
        <x:v>ТОО Russell Bedford A+ Partners</x:v>
      </x:c>
      <x:c r="H95" s="32" t="str">
        <x:v>not_found</x:v>
      </x:c>
      <x:c r="I95" s="32" t="str"/>
      <x:c r="J95" s="32" t="n">
        <x:v>0</x:v>
      </x:c>
      <x:c r="K95" s="32" t="str">
        <x:v>not_found</x:v>
      </x:c>
      <x:c r="L95" s="32" t="str">
        <x:v>1. Частная компания Central Asian Capital Ltd. [17] (278f1634-2fb9-40ff-ab77-6596ba080b69)</x:v>
      </x:c>
      <x:c r="M95" s="32" t="str"/>
      <x:c r="N95" s="32" t="str"/>
      <x:c r="O95" s="32" t="str"/>
      <x:c r="P95" s="33" t="b">
        <x:v>0</x:v>
      </x:c>
      <x:c r="Q95" s="32" t="str">
        <x:v>create_candidate</x:v>
      </x:c>
      <x:c r="R95" s="32" t="str">
        <x:v>review_create_or_skip</x:v>
      </x:c>
      <x:c r="S95" s="32" t="str"/>
      <x:c r="T95" s="32" t="str"/>
      <x:c r="U95" s="32" t="str"/>
    </x:row>
    <x:row r="96" ht="42" customHeight="1">
      <x:c r="A96" s="32" t="str">
        <x:v>3 кв проекты 2024 rbi.xlsx::консульт услуги 2024 3 кв::4</x:v>
      </x:c>
      <x:c r="B96" s="32" t="str">
        <x:v>3 кв Проекты 2024_RBI.xlsx</x:v>
      </x:c>
      <x:c r="C96" s="32" t="str">
        <x:v>консульт услуги 2024 3 кв</x:v>
      </x:c>
      <x:c r="D96" s="32" t="n">
        <x:v>4</x:v>
      </x:c>
      <x:c r="E96" s="32" t="str">
        <x:v>ТОО FORA TRADE</x:v>
      </x:c>
      <x:c r="F96" s="32" t="str"/>
      <x:c r="G96" s="32" t="str">
        <x:v>ТОО Russell Bedford A+ Partners</x:v>
      </x:c>
      <x:c r="H96" s="32" t="str">
        <x:v>not_found</x:v>
      </x:c>
      <x:c r="I96" s="32" t="str"/>
      <x:c r="J96" s="32" t="n">
        <x:v>0</x:v>
      </x:c>
      <x:c r="K96" s="32" t="str">
        <x:v>not_found</x:v>
      </x:c>
      <x:c r="L96" s="32" t="str">
        <x:v>1. ТОО «PS Vostok Trade» (ПС Восток Трейд)»  [25] (52c8f7f1-6d6c-4d0b-bfe2-c69070729680)</x:v>
      </x:c>
      <x:c r="M96" s="32" t="str"/>
      <x:c r="N96" s="32" t="str"/>
      <x:c r="O96" s="32" t="str"/>
      <x:c r="P96" s="33" t="b">
        <x:v>0</x:v>
      </x:c>
      <x:c r="Q96" s="32" t="str">
        <x:v>create_candidate</x:v>
      </x:c>
      <x:c r="R96" s="32" t="str">
        <x:v>review_create_or_skip</x:v>
      </x:c>
      <x:c r="S96" s="32" t="str"/>
      <x:c r="T96" s="32" t="str"/>
      <x:c r="U96" s="32" t="str"/>
    </x:row>
    <x:row r="97" ht="42" customHeight="1">
      <x:c r="A97" s="32" t="str">
        <x:v>3 кв проекты 2024 rbi.xlsx::налоги 2024 3 кв::2</x:v>
      </x:c>
      <x:c r="B97" s="32" t="str">
        <x:v>3 кв Проекты 2024_RBI.xlsx</x:v>
      </x:c>
      <x:c r="C97" s="32" t="str">
        <x:v>налоги 2024 3 кв</x:v>
      </x:c>
      <x:c r="D97" s="32" t="n">
        <x:v>2</x:v>
      </x:c>
      <x:c r="E97" s="32" t="str">
        <x:v>Eurasian Logistics Park LLP</x:v>
      </x:c>
      <x:c r="F97" s="32" t="str"/>
      <x:c r="G97" s="32" t="str">
        <x:v>ТОО Russell Bedford A+ Partners</x:v>
      </x:c>
      <x:c r="H97" s="32" t="str">
        <x:v>not_found</x:v>
      </x:c>
      <x:c r="I97" s="32" t="str"/>
      <x:c r="J97" s="32" t="n">
        <x:v>0</x:v>
      </x:c>
      <x:c r="K97" s="32" t="str">
        <x:v>not_found</x:v>
      </x:c>
      <x:c r="L97" s="32" t="str"/>
      <x:c r="M97" s="32" t="str"/>
      <x:c r="N97" s="32" t="str"/>
      <x:c r="O97" s="32" t="str"/>
      <x:c r="P97" s="33" t="b">
        <x:v>0</x:v>
      </x:c>
      <x:c r="Q97" s="32" t="str">
        <x:v>create_candidate</x:v>
      </x:c>
      <x:c r="R97" s="32" t="str">
        <x:v>review_create_or_skip</x:v>
      </x:c>
      <x:c r="S97" s="32" t="str"/>
      <x:c r="T97" s="32" t="str"/>
      <x:c r="U97" s="32" t="str"/>
    </x:row>
    <x:row r="98" ht="42" customHeight="1">
      <x:c r="A98" s="32" t="str">
        <x:v>3 кв проекты 2025 rbi.xlsx::аудит фо 3 кв 2025::11</x:v>
      </x:c>
      <x:c r="B98" s="32" t="str">
        <x:v>3 кв Проекты 2025_RBI.xlsx</x:v>
      </x:c>
      <x:c r="C98" s="32" t="str">
        <x:v>аудит ФО 3 кв 2025</x:v>
      </x:c>
      <x:c r="D98" s="32" t="n">
        <x:v>11</x:v>
      </x:c>
      <x:c r="E98" s="32" t="str">
        <x:v>Акционерное общество «Национальная горнорудная компания «Taу-Keн Самрук»</x:v>
      </x:c>
      <x:c r="F98" s="32" t="str"/>
      <x:c r="G98" s="32" t="str"/>
      <x:c r="H98" s="32" t="str">
        <x:v>not_found</x:v>
      </x:c>
      <x:c r="I98" s="32" t="str"/>
      <x:c r="J98" s="32" t="n">
        <x:v>0</x:v>
      </x:c>
      <x:c r="K98" s="32" t="str">
        <x:v>not_found</x:v>
      </x:c>
      <x:c r="L98" s="32" t="str">
        <x:v>1. Акционерное общество "Национальная платежная корпорация Национального Банка Республики Казахстан" - АУДИТ за 2024 [21] (49694440-aee8-4cf4-af94-a8d4ef55a462)
2. Акционерное общество «Транснациональная компания «Казхром» - Проведение аудита расходов на разведку и добычу твердых полезных ископаемых, указанных в отчете об исполнении лицензионных обязательств [21] (920af92e-3236-4e89-93ff-8c7450ce1993)
3. АО «Национальная горнорудная компания «Тау-Кен Самрук» (аудит за 2025-2029гг) [21] (bba4e3dd-d508-418f-9c48-23ce65dbc4f9)
4. АО «Национальная горнорудная компания «Тау-Кен Самрук» (аудит за 2025-2029гг) [21] (2eb886af-107b-45b1-be4d-7fad12337505)
5. АО «Национальная горнорудная компания «Тау-Кен Самрук» (аудит за 2025-2029гг) [21] (44ca9c70-7135-43bc-bb8e-17a1f714cd77)</x:v>
      </x:c>
      <x:c r="M98" s="32" t="str"/>
      <x:c r="N98" s="32" t="str"/>
      <x:c r="O98" s="32" t="str"/>
      <x:c r="P98" s="33" t="b">
        <x:v>0</x:v>
      </x:c>
      <x:c r="Q98" s="32" t="str">
        <x:v>create_candidate</x:v>
      </x:c>
      <x:c r="R98" s="32" t="str">
        <x:v>review_create_or_skip</x:v>
      </x:c>
      <x:c r="S98" s="32" t="str"/>
      <x:c r="T98" s="32" t="str"/>
      <x:c r="U98" s="32" t="str"/>
    </x:row>
    <x:row r="99" ht="42" customHeight="1">
      <x:c r="A99" s="32" t="str">
        <x:v>3 кв проекты 2025 rbi.xlsx::аудит фо 3 кв 2025::12</x:v>
      </x:c>
      <x:c r="B99" s="32" t="str">
        <x:v>3 кв Проекты 2025_RBI.xlsx</x:v>
      </x:c>
      <x:c r="C99" s="32" t="str">
        <x:v>аудит ФО 3 кв 2025</x:v>
      </x:c>
      <x:c r="D99" s="32" t="n">
        <x:v>12</x:v>
      </x:c>
      <x:c r="E99" s="32" t="str">
        <x:v>АО СПК Алматы</x:v>
      </x:c>
      <x:c r="F99" s="32" t="str"/>
      <x:c r="G99" s="32" t="str"/>
      <x:c r="H99" s="32" t="str">
        <x:v>not_found</x:v>
      </x:c>
      <x:c r="I99" s="32" t="str"/>
      <x:c r="J99" s="32" t="n">
        <x:v>0</x:v>
      </x:c>
      <x:c r="K99" s="32" t="str">
        <x:v>not_found</x:v>
      </x:c>
      <x:c r="L99" s="32" t="str">
        <x:v>1. АО НК СПК Алматы (за период 2023-2025) [50] (c72e0a29-5183-420d-86f6-51312b5d2684)
2. АО НК СПК Алматы (за период 2023-2025) [50] (3b94c880-12ec-46ca-8e48-c9ebdb14dd78)
3. АО НК СПК Алматы (за период 2023-2025) [50] (3d78d510-7736-41f2-b709-adf74c1d4638)
4. СПК АЛМАТЫ+ 6 ДОЧЕК. ОТДЕЛЬНЫЕ И КОНС. - АУДИТ за 2024 [50] (b973748e-753c-4996-b5cb-c08cfd4e8428)
5. СПК АЛМАТЫ+ 7 ДОЧЕК. ОТДЕЛЬНЫЕ И КОНС. - ОБЗОР за 6 МЕС 2025 [50] (fc328cef-6b7f-49b2-b545-744c63c91aa2)</x:v>
      </x:c>
      <x:c r="M99" s="32" t="str"/>
      <x:c r="N99" s="32" t="str"/>
      <x:c r="O99" s="32" t="str"/>
      <x:c r="P99" s="33" t="b">
        <x:v>0</x:v>
      </x:c>
      <x:c r="Q99" s="32" t="str">
        <x:v>create_candidate</x:v>
      </x:c>
      <x:c r="R99" s="32" t="str">
        <x:v>review_create_or_skip</x:v>
      </x:c>
      <x:c r="S99" s="32" t="str"/>
      <x:c r="T99" s="32" t="str"/>
      <x:c r="U99" s="32" t="str"/>
    </x:row>
    <x:row r="100" ht="42" customHeight="1">
      <x:c r="A100" s="32" t="str">
        <x:v>3 кв проекты 2025 rbi.xlsx::аудит фо 3 кв 2025::13</x:v>
      </x:c>
      <x:c r="B100" s="32" t="str">
        <x:v>3 кв Проекты 2025_RBI.xlsx</x:v>
      </x:c>
      <x:c r="C100" s="32" t="str">
        <x:v>аудит ФО 3 кв 2025</x:v>
      </x:c>
      <x:c r="D100" s="32" t="n">
        <x:v>13</x:v>
      </x:c>
      <x:c r="E100" s="32" t="str">
        <x:v>ТОО Микрофинасовая организация Almaty</x:v>
      </x:c>
      <x:c r="F100" s="32" t="str"/>
      <x:c r="G100" s="32" t="str"/>
      <x:c r="H100" s="32" t="str">
        <x:v>not_found</x:v>
      </x:c>
      <x:c r="I100" s="32" t="str"/>
      <x:c r="J100" s="32" t="n">
        <x:v>0</x:v>
      </x:c>
      <x:c r="K100" s="32" t="str">
        <x:v>not_found</x:v>
      </x:c>
      <x:c r="L100" s="32" t="str"/>
      <x:c r="M100" s="32" t="str"/>
      <x:c r="N100" s="32" t="str"/>
      <x:c r="O100" s="32" t="str"/>
      <x:c r="P100" s="33" t="b">
        <x:v>0</x:v>
      </x:c>
      <x:c r="Q100" s="32" t="str">
        <x:v>create_candidate</x:v>
      </x:c>
      <x:c r="R100" s="32" t="str">
        <x:v>review_create_or_skip</x:v>
      </x:c>
      <x:c r="S100" s="32" t="str"/>
      <x:c r="T100" s="32" t="str"/>
      <x:c r="U100" s="32" t="str"/>
    </x:row>
    <x:row r="101" ht="42" customHeight="1">
      <x:c r="A101" s="32" t="str">
        <x:v>3 кв проекты 2025 rbi.xlsx::аудит фо 3 кв 2025::16</x:v>
      </x:c>
      <x:c r="B101" s="32" t="str">
        <x:v>3 кв Проекты 2025_RBI.xlsx</x:v>
      </x:c>
      <x:c r="C101" s="32" t="str">
        <x:v>аудит ФО 3 кв 2025</x:v>
      </x:c>
      <x:c r="D101" s="32" t="n">
        <x:v>16</x:v>
      </x:c>
      <x:c r="E101" s="32" t="str">
        <x:v>ИП Мукашева КБ</x:v>
      </x:c>
      <x:c r="F101" s="32" t="str"/>
      <x:c r="G101" s="32" t="str"/>
      <x:c r="H101" s="32" t="str">
        <x:v>not_found</x:v>
      </x:c>
      <x:c r="I101" s="32" t="str"/>
      <x:c r="J101" s="32" t="n">
        <x:v>0</x:v>
      </x:c>
      <x:c r="K101" s="32" t="str">
        <x:v>exact</x:v>
      </x:c>
      <x:c r="L101" s="32" t="str">
        <x:v>1. ИП Мукашева КБ  - услуг по проведению аудита финансовой отчетности за период с 1 января 2025 года по 31 декабря 2025 года  [135] (93040f67-6f4d-4f28-9b29-20e02d2e5ead)
2. Индивидуальный предприниматель «Мукашева КБ» [50] (b49a380b-310b-4478-8ca6-4550fdc2f6a0)</x:v>
      </x:c>
      <x:c r="M101" s="32" t="str"/>
      <x:c r="N101" s="32" t="str"/>
      <x:c r="O101" s="32" t="str"/>
      <x:c r="P101" s="33" t="b">
        <x:v>0</x:v>
      </x:c>
      <x:c r="Q101" s="32" t="str">
        <x:v>create_candidate</x:v>
      </x:c>
      <x:c r="R101" s="32" t="str">
        <x:v>review_create_or_skip</x:v>
      </x:c>
      <x:c r="S101" s="32" t="str"/>
      <x:c r="T101" s="32" t="str"/>
      <x:c r="U101" s="32" t="str"/>
    </x:row>
    <x:row r="102" ht="42" customHeight="1">
      <x:c r="A102" s="32" t="str">
        <x:v>3 кв проекты 2025 rbi.xlsx::аудит фо 3 кв 2025::17</x:v>
      </x:c>
      <x:c r="B102" s="32" t="str">
        <x:v>3 кв Проекты 2025_RBI.xlsx</x:v>
      </x:c>
      <x:c r="C102" s="32" t="str">
        <x:v>аудит ФО 3 кв 2025</x:v>
      </x:c>
      <x:c r="D102" s="32" t="n">
        <x:v>17</x:v>
      </x:c>
      <x:c r="E102" s="32" t="str">
        <x:v>КАЗЕВРОМОБАЙЛ ТОО</x:v>
      </x:c>
      <x:c r="F102" s="32" t="str"/>
      <x:c r="G102" s="32" t="str"/>
      <x:c r="H102" s="32" t="str">
        <x:v>not_found</x:v>
      </x:c>
      <x:c r="I102" s="32" t="str"/>
      <x:c r="J102" s="32" t="n">
        <x:v>0</x:v>
      </x:c>
      <x:c r="K102" s="32" t="str">
        <x:v>not_found</x:v>
      </x:c>
      <x:c r="L102" s="32" t="str">
        <x:v>1. ТОО «КАЗЕВРОМОБАЙЛ» [50] (fa466b76-8f25-4d6c-8234-83e9ee4fbd47)
2. ТОО КАЗЕВРОМОБАЙЛ  - Аудит финансовой отчетности за 12 месяцев 2025 г., с выдачей Отчета независимого аудитора по внешнему аудиту годовой финансовой отчетности, на английском и русском языках, письма руководству Заказчика с указанием замечаний по результатам аудита [50] (941aac64-3890-4f29-b5db-48d2001be6f4)</x:v>
      </x:c>
      <x:c r="M102" s="32" t="str"/>
      <x:c r="N102" s="32" t="str"/>
      <x:c r="O102" s="32" t="str"/>
      <x:c r="P102" s="33" t="b">
        <x:v>0</x:v>
      </x:c>
      <x:c r="Q102" s="32" t="str">
        <x:v>create_candidate</x:v>
      </x:c>
      <x:c r="R102" s="32" t="str">
        <x:v>review_create_or_skip</x:v>
      </x:c>
      <x:c r="S102" s="32" t="str"/>
      <x:c r="T102" s="32" t="str"/>
      <x:c r="U102" s="32" t="str"/>
    </x:row>
    <x:row r="103" ht="42" customHeight="1">
      <x:c r="A103" s="32" t="str">
        <x:v>3 кв проекты 2025 rbi.xlsx::аудит фо 3 кв 2025::20</x:v>
      </x:c>
      <x:c r="B103" s="32" t="str">
        <x:v>3 кв Проекты 2025_RBI.xlsx</x:v>
      </x:c>
      <x:c r="C103" s="32" t="str">
        <x:v>аудит ФО 3 кв 2025</x:v>
      </x:c>
      <x:c r="D103" s="32" t="n">
        <x:v>20</x:v>
      </x:c>
      <x:c r="E103" s="32" t="str">
        <x:v>ТОО ARK СO</x:v>
      </x:c>
      <x:c r="F103" s="32" t="str"/>
      <x:c r="G103" s="32" t="str"/>
      <x:c r="H103" s="32" t="str">
        <x:v>not_found</x:v>
      </x:c>
      <x:c r="I103" s="32" t="str"/>
      <x:c r="J103" s="32" t="n">
        <x:v>0</x:v>
      </x:c>
      <x:c r="K103" s="32" t="str">
        <x:v>not_found</x:v>
      </x:c>
      <x:c r="L103" s="32" t="str">
        <x:v>1. ТОО «Viva Marketing &amp; Distribution» [25] (64bb1609-e8a6-430b-83b6-28052ead82da)
2. ТОО ARK CO (АРК КО) [25] (53f21fc9-d77f-4653-84d1-be6cd2820a24)
3. ТОО Parker Consulting &amp; Appraisal - Услуги по оценке рыночной стоимости данного объекта: Исключительно права на результаты интеллектуальной деятельности: Программа для ЭВМ "ALLIOT - платформа соответствия МСФО9/17 и SOLVENCY 2" [25] (c13f56f0-b518-4727-a821-5391bd37afb9)
4. ТОО Viva Marketing &amp; Distribution - 1.1. Заказчик поручает и оплачивает, а Исполнитель принимает на себя обязательство по оказанию Заказчику услуг:
1.1.1. по проведению аудита финансовой отчетности ТОО «Viva Marketing &amp; Distribution» за 2025 год, подготовленной в соответствии с Международными Стандартами Финансовой Отчетности (МСФО);
1.1.2. по проведению аудита налоговой отчетности ТОО «Viva Marketing &amp; Distribution» за 2025 год (далее – услуги) (далее – услуги).
 [25] (9ea8a9da-6754-4142-ae9d-6116ca8ec02b)
5. ЧАСТНАЯ КОМПАНИЯ ОТКРЫТОГО ИНВЕСТИЦИОННОГО ТИПА TG GLOBAL SARYARKA FUND OEIC LIMITED - Услуги по проведению аудита отдельной и консолидированной финансовой отчётности [25] (7e166492-87ee-4eeb-81a7-4cadb8bc7bd0)</x:v>
      </x:c>
      <x:c r="M103" s="32" t="str"/>
      <x:c r="N103" s="32" t="str"/>
      <x:c r="O103" s="32" t="str"/>
      <x:c r="P103" s="33" t="b">
        <x:v>0</x:v>
      </x:c>
      <x:c r="Q103" s="32" t="str">
        <x:v>create_candidate</x:v>
      </x:c>
      <x:c r="R103" s="32" t="str">
        <x:v>review_create_or_skip</x:v>
      </x:c>
      <x:c r="S103" s="32" t="str"/>
      <x:c r="T103" s="32" t="str"/>
      <x:c r="U103" s="32" t="str"/>
    </x:row>
    <x:row r="104" ht="42" customHeight="1">
      <x:c r="A104" s="32" t="str">
        <x:v>3 кв проекты 2025 rbi.xlsx::аудит фо 3 кв 2025::24</x:v>
      </x:c>
      <x:c r="B104" s="32" t="str">
        <x:v>3 кв Проекты 2025_RBI.xlsx</x:v>
      </x:c>
      <x:c r="C104" s="32" t="str">
        <x:v>аудит ФО 3 кв 2025</x:v>
      </x:c>
      <x:c r="D104" s="32" t="n">
        <x:v>24</x:v>
      </x:c>
      <x:c r="E104" s="32" t="str">
        <x:v>ТОО Ас-Ан Маркет</x:v>
      </x:c>
      <x:c r="F104" s="32" t="str"/>
      <x:c r="G104" s="32" t="str"/>
      <x:c r="H104" s="32" t="str">
        <x:v>not_found</x:v>
      </x:c>
      <x:c r="I104" s="32" t="str"/>
      <x:c r="J104" s="32" t="n">
        <x:v>0</x:v>
      </x:c>
      <x:c r="K104" s="32" t="str">
        <x:v>not_found</x:v>
      </x:c>
      <x:c r="L104" s="32" t="str">
        <x:v>1. ТОО «АсАн Маркет» [50] (5f869e60-ad30-4a88-9b2a-fb0bb0a3b3d6)
2.  Частная компания открытого инвестиционного типа TG Global PRE-IPO Fund I OEIC Limited. - Услуги по проведению аудита отдельной и консолидированной финансовой отчётности [33] (360689d4-6dac-4e34-aecc-e7afd8570423)
3. АКЦИОНЕРНОЕ ОБЩЕСТВО "ЖИЛИЩНЫЙ СТРОИТЕЛЬНЫЙ СБЕРЕГАТЕЛЬНЫЙ БАНК "ОТБАСЫ БАНК" - Услуги по проведению аудита специального назначения субъектов квазигосударственного сектора [33] (74c47b36-93c2-4f0f-a066-a98fb0576865)
4. Акционерное общество «Транснациональная компания «Казхром» - Проведение аудита расходов на разведку и добычу твердых полезных ископаемых, указанных в отчете об исполнении лицензионных обязательств [33] (920af92e-3236-4e89-93ff-8c7450ce1993)
5. АО "Каражанбасмунай" [33] (4f4c212c-6b88-4751-b9d0-318f46f8173e)</x:v>
      </x:c>
      <x:c r="M104" s="32" t="str"/>
      <x:c r="N104" s="32" t="str"/>
      <x:c r="O104" s="32" t="str"/>
      <x:c r="P104" s="33" t="b">
        <x:v>0</x:v>
      </x:c>
      <x:c r="Q104" s="32" t="str">
        <x:v>create_candidate</x:v>
      </x:c>
      <x:c r="R104" s="32" t="str">
        <x:v>review_create_or_skip</x:v>
      </x:c>
      <x:c r="S104" s="32" t="str"/>
      <x:c r="T104" s="32" t="str"/>
      <x:c r="U104" s="32" t="str"/>
    </x:row>
    <x:row r="105" ht="42" customHeight="1">
      <x:c r="A105" s="32" t="str">
        <x:v>3 кв проекты 2025 rbi.xlsx::аудит фо 3 кв 2025::27</x:v>
      </x:c>
      <x:c r="B105" s="32" t="str">
        <x:v>3 кв Проекты 2025_RBI.xlsx</x:v>
      </x:c>
      <x:c r="C105" s="32" t="str">
        <x:v>аудит ФО 3 кв 2025</x:v>
      </x:c>
      <x:c r="D105" s="32" t="n">
        <x:v>27</x:v>
      </x:c>
      <x:c r="E105" s="32" t="str">
        <x:v>ТОО КаИс Инвест</x:v>
      </x:c>
      <x:c r="F105" s="32" t="str"/>
      <x:c r="G105" s="32" t="str"/>
      <x:c r="H105" s="32" t="str">
        <x:v>not_found</x:v>
      </x:c>
      <x:c r="I105" s="32" t="str"/>
      <x:c r="J105" s="32" t="n">
        <x:v>0</x:v>
      </x:c>
      <x:c r="K105" s="32" t="str">
        <x:v>exact</x:v>
      </x:c>
      <x:c r="L105" s="32" t="str">
        <x:v>1. ТОО «КаИс Инвест» [255] (bbcb3663-022c-4c50-a693-483d07ebb062)
2. ТОО КаИс Инвест - услуг по проведению аудита финансовой отчетности за период с 1 января 2025 года по 31 декабря 2025 года  [135] (7d248ae3-ca9a-4075-8423-b39e2a1c2afa)
3.  Частная компания открытого инвестиционного типа TG Global PRE-IPO Fund I OEIC Limited. - Услуги по проведению аудита отдельной и консолидированной финансовой отчётности [25] (360689d4-6dac-4e34-aecc-e7afd8570423)
4. АО «Акционерный инвестиционный фонд недвижимости «TG AL-Farabi» от Тримовой Сауле [25] (44929955-29b6-4407-b935-e71be44d7d0e)
5. АО «Акционерный инвестиционный фонд рискового инвестирования «TG MED» от Тримовой Сауле [25] (0a22ced6-daec-40ec-82ef-b9ad21d0eba6)</x:v>
      </x:c>
      <x:c r="M105" s="32" t="str"/>
      <x:c r="N105" s="32" t="str">
        <x:v>Zabira Yerlankyzy [supervisor_1]
Арнабеков Ерлан [partner]</x:v>
      </x:c>
      <x:c r="O105" s="32" t="str"/>
      <x:c r="P105" s="33" t="b">
        <x:v>0</x:v>
      </x:c>
      <x:c r="Q105" s="32" t="str">
        <x:v>create_candidate</x:v>
      </x:c>
      <x:c r="R105" s="32" t="str">
        <x:v>review_create_or_skip</x:v>
      </x:c>
      <x:c r="S105" s="32" t="str"/>
      <x:c r="T105" s="32" t="str"/>
      <x:c r="U105" s="32" t="str"/>
    </x:row>
    <x:row r="106" ht="42" customHeight="1">
      <x:c r="A106" s="32" t="str">
        <x:v>3 кв проекты 2025 rbi.xlsx::аудит фо 3 кв 2025::36</x:v>
      </x:c>
      <x:c r="B106" s="32" t="str">
        <x:v>3 кв Проекты 2025_RBI.xlsx</x:v>
      </x:c>
      <x:c r="C106" s="32" t="str">
        <x:v>аудит ФО 3 кв 2025</x:v>
      </x:c>
      <x:c r="D106" s="32" t="n">
        <x:v>36</x:v>
      </x:c>
      <x:c r="E106" s="32" t="str">
        <x:v>РГУ МинФин РК</x:v>
      </x:c>
      <x:c r="F106" s="32" t="str"/>
      <x:c r="G106" s="32" t="str"/>
      <x:c r="H106" s="32" t="str">
        <x:v>not_found</x:v>
      </x:c>
      <x:c r="I106" s="32" t="str"/>
      <x:c r="J106" s="32" t="n">
        <x:v>0</x:v>
      </x:c>
      <x:c r="K106" s="32" t="str">
        <x:v>not_found</x:v>
      </x:c>
      <x:c r="L106" s="32" t="str"/>
      <x:c r="M106" s="32" t="str"/>
      <x:c r="N106" s="32" t="str"/>
      <x:c r="O106" s="32" t="str"/>
      <x:c r="P106" s="33" t="b">
        <x:v>0</x:v>
      </x:c>
      <x:c r="Q106" s="32" t="str">
        <x:v>create_candidate</x:v>
      </x:c>
      <x:c r="R106" s="32" t="str">
        <x:v>review_create_or_skip</x:v>
      </x:c>
      <x:c r="S106" s="32" t="str"/>
      <x:c r="T106" s="32" t="str"/>
      <x:c r="U106" s="32" t="str"/>
    </x:row>
    <x:row r="107" ht="42" customHeight="1">
      <x:c r="A107" s="32" t="str">
        <x:v>3 кв проекты 2025 rbi.xlsx::аудит фо 3 кв 2025::38</x:v>
      </x:c>
      <x:c r="B107" s="32" t="str">
        <x:v>3 кв Проекты 2025_RBI.xlsx</x:v>
      </x:c>
      <x:c r="C107" s="32" t="str">
        <x:v>аудит ФО 3 кв 2025</x:v>
      </x:c>
      <x:c r="D107" s="32" t="n">
        <x:v>38</x:v>
      </x:c>
      <x:c r="E107" s="32" t="str">
        <x:v>ТОО VSCO Construction</x:v>
      </x:c>
      <x:c r="F107" s="32" t="str">
        <x:v>Аудит ФО</x:v>
      </x:c>
      <x:c r="G107" s="32" t="str">
        <x:v>ТОО Russell Bedford A+ Partners</x:v>
      </x:c>
      <x:c r="H107" s="32" t="str">
        <x:v>not_found</x:v>
      </x:c>
      <x:c r="I107" s="32" t="str"/>
      <x:c r="J107" s="32" t="n">
        <x:v>0</x:v>
      </x:c>
      <x:c r="K107" s="32" t="str">
        <x:v>not_found</x:v>
      </x:c>
      <x:c r="L107" s="32" t="str">
        <x:v>1. ТОО «Oil Construction Company» (за период 2022-2024) [60] (ca8526ed-4e82-4566-bf08-ced1855f8166)
2. ТОО «Oil Construction Company» (за период 2022-2024) [60] (942e5751-7666-4d58-a696-17f2c63f4b1d)
3. Акционерное Общество "Samruk-Kazyna Construction" - Услуги по проведению аудита специального назначения субъектов квазигосударственного сектора [37] (37633ed5-72be-4a2a-bea6-bd6e72c6637b)
4. АО Samruk-Kazyna Construction [25] (a5e29b51-d7f0-4f46-b487-7abeacbdf38c)
5. ТОО «APL Construction»  [25] (950afea1-1d2c-44b4-8abe-dbf9e706f22f)</x:v>
      </x:c>
      <x:c r="M107" s="32" t="str"/>
      <x:c r="N107" s="32" t="str"/>
      <x:c r="O107" s="32" t="str">
        <x:v>Арнабеков Ерлан [partner]</x:v>
      </x:c>
      <x:c r="P107" s="33" t="b">
        <x:v>0</x:v>
      </x:c>
      <x:c r="Q107" s="32" t="str">
        <x:v>create_candidate</x:v>
      </x:c>
      <x:c r="R107" s="32" t="str">
        <x:v>review_create_or_skip</x:v>
      </x:c>
      <x:c r="S107" s="32" t="str"/>
      <x:c r="T107" s="32" t="str"/>
      <x:c r="U107" s="32" t="str"/>
    </x:row>
    <x:row r="108" ht="42" customHeight="1">
      <x:c r="A108" s="32" t="str">
        <x:v>3 кв проекты 2025 rbi.xlsx::аудит фо 3 кв 2025::39</x:v>
      </x:c>
      <x:c r="B108" s="32" t="str">
        <x:v>3 кв Проекты 2025_RBI.xlsx</x:v>
      </x:c>
      <x:c r="C108" s="32" t="str">
        <x:v>аудит ФО 3 кв 2025</x:v>
      </x:c>
      <x:c r="D108" s="32" t="n">
        <x:v>39</x:v>
      </x:c>
      <x:c r="E108" s="32" t="str">
        <x:v>ТОО VSCO Construction</x:v>
      </x:c>
      <x:c r="F108" s="32" t="str">
        <x:v>Аудит ФО</x:v>
      </x:c>
      <x:c r="G108" s="32" t="str"/>
      <x:c r="H108" s="32" t="str">
        <x:v>not_found</x:v>
      </x:c>
      <x:c r="I108" s="32" t="str"/>
      <x:c r="J108" s="32" t="n">
        <x:v>0</x:v>
      </x:c>
      <x:c r="K108" s="32" t="str">
        <x:v>not_found</x:v>
      </x:c>
      <x:c r="L108" s="32" t="str">
        <x:v>1. ТОО «Oil Construction Company» (за период 2022-2024) [60] (ca8526ed-4e82-4566-bf08-ced1855f8166)
2. ТОО «Oil Construction Company» (за период 2022-2024) [60] (942e5751-7666-4d58-a696-17f2c63f4b1d)
3. Акционерное Общество "Samruk-Kazyna Construction" - Услуги по проведению аудита специального назначения субъектов квазигосударственного сектора [37] (37633ed5-72be-4a2a-bea6-bd6e72c6637b)
4. АО Samruk-Kazyna Construction [25] (a5e29b51-d7f0-4f46-b487-7abeacbdf38c)
5. ТОО «APL Construction»  [25] (950afea1-1d2c-44b4-8abe-dbf9e706f22f)</x:v>
      </x:c>
      <x:c r="M108" s="32" t="str"/>
      <x:c r="N108" s="32" t="str"/>
      <x:c r="O108" s="32" t="str"/>
      <x:c r="P108" s="33" t="b">
        <x:v>0</x:v>
      </x:c>
      <x:c r="Q108" s="32" t="str">
        <x:v>create_candidate</x:v>
      </x:c>
      <x:c r="R108" s="32" t="str">
        <x:v>review_create_or_skip</x:v>
      </x:c>
      <x:c r="S108" s="32" t="str"/>
      <x:c r="T108" s="32" t="str"/>
      <x:c r="U108" s="32" t="str"/>
    </x:row>
    <x:row r="109" ht="42" customHeight="1">
      <x:c r="A109" s="32" t="str">
        <x:v>3 кв проекты 2025 rbi.xlsx::аудит фо 3 кв 2025::40</x:v>
      </x:c>
      <x:c r="B109" s="32" t="str">
        <x:v>3 кв Проекты 2025_RBI.xlsx</x:v>
      </x:c>
      <x:c r="C109" s="32" t="str">
        <x:v>аудит ФО 3 кв 2025</x:v>
      </x:c>
      <x:c r="D109" s="32" t="n">
        <x:v>40</x:v>
      </x:c>
      <x:c r="E109" s="32" t="str">
        <x:v>ТОО VSCO Construction</x:v>
      </x:c>
      <x:c r="F109" s="32" t="str">
        <x:v>Аудит ФО</x:v>
      </x:c>
      <x:c r="G109" s="32" t="str"/>
      <x:c r="H109" s="32" t="str">
        <x:v>not_found</x:v>
      </x:c>
      <x:c r="I109" s="32" t="str"/>
      <x:c r="J109" s="32" t="n">
        <x:v>0</x:v>
      </x:c>
      <x:c r="K109" s="32" t="str">
        <x:v>not_found</x:v>
      </x:c>
      <x:c r="L109" s="32" t="str">
        <x:v>1. ТОО «Oil Construction Company» (за период 2025-2027) [60] (0629f630-5092-4e09-8b63-84ea343c288f)
2. ТОО «Oil Construction Company» (за период 2025-2027) [60] (9c7b15cc-50c0-469a-8d68-63d21ba942bd)
3. ТОО «Oil Construction Company» (за период 2025-2027) [60] (6a0c7388-724d-445c-a66b-35d6dd3927e1)
4. ТОО «Oil Construction Company» (за период 2025-2027) [60] (0ff73995-042e-4a65-902b-cc866c4d638e)
5. ТОО «Oil Construction Company» (за период 2025-2027) [60] (825e3e6f-ce36-4155-a509-4e9316f05ac3)</x:v>
      </x:c>
      <x:c r="M109" s="32" t="str"/>
      <x:c r="N109" s="32" t="str"/>
      <x:c r="O109" s="32" t="str"/>
      <x:c r="P109" s="33" t="b">
        <x:v>0</x:v>
      </x:c>
      <x:c r="Q109" s="32" t="str">
        <x:v>create_candidate</x:v>
      </x:c>
      <x:c r="R109" s="32" t="str">
        <x:v>review_create_or_skip</x:v>
      </x:c>
      <x:c r="S109" s="32" t="str"/>
      <x:c r="T109" s="32" t="str"/>
      <x:c r="U109" s="32" t="str"/>
    </x:row>
    <x:row r="110" ht="42" customHeight="1">
      <x:c r="A110" s="32" t="str">
        <x:v>3 кв проекты 2025 rbi.xlsx::аудит фо 3 кв 2025::41</x:v>
      </x:c>
      <x:c r="B110" s="32" t="str">
        <x:v>3 кв Проекты 2025_RBI.xlsx</x:v>
      </x:c>
      <x:c r="C110" s="32" t="str">
        <x:v>аудит ФО 3 кв 2025</x:v>
      </x:c>
      <x:c r="D110" s="32" t="n">
        <x:v>41</x:v>
      </x:c>
      <x:c r="E110" s="32" t="str">
        <x:v>АО Ланкастер Груп</x:v>
      </x:c>
      <x:c r="F110" s="32" t="str"/>
      <x:c r="G110" s="32" t="str"/>
      <x:c r="H110" s="32" t="str">
        <x:v>not_found</x:v>
      </x:c>
      <x:c r="I110" s="32" t="str"/>
      <x:c r="J110" s="32" t="n">
        <x:v>0</x:v>
      </x:c>
      <x:c r="K110" s="32" t="str">
        <x:v>not_found</x:v>
      </x:c>
      <x:c r="L110" s="32" t="str">
        <x:v>1. «Berkut Mining» (Беркут Майнинг) (группа компаний АО Lancaster Group Kazakhstan) [25] (962f3649-f91b-4af2-87d2-7da045e6dda7)
2. АО Костанайские минералы - Аудит консолидированной финансовой отчетности  группы АО «Костанайские минералы" за 2026 год, подготовленной в соответствии с международными стандартами финансовой отчетности    [25] (4b95571d-867b-45da-a804-7bcb17f667b6)
3. БЕСШОКЫ (ГРУППА КОМПАНИЙ7). ОТДЕЛЬНЫЕ И КОНС. - АУДИТ за 2024 [25] (3da25a45-51c1-435a-87d8-6de710ab9969)
4. ТОО «КомТрансЛизинг» (Группа компаний ВИРАЖ) [25] (5b758acf-baa6-43e5-a662-cac2f298d6c1)
5. ТОО «КомТрансЛизинг» (Группа компаний ВИРАЖ) [25] (155573eb-49e7-4518-a269-88b9d4918e63)</x:v>
      </x:c>
      <x:c r="M110" s="32" t="str"/>
      <x:c r="N110" s="32" t="str"/>
      <x:c r="O110" s="32" t="str"/>
      <x:c r="P110" s="33" t="b">
        <x:v>0</x:v>
      </x:c>
      <x:c r="Q110" s="32" t="str">
        <x:v>create_candidate</x:v>
      </x:c>
      <x:c r="R110" s="32" t="str">
        <x:v>review_create_or_skip</x:v>
      </x:c>
      <x:c r="S110" s="32" t="str"/>
      <x:c r="T110" s="32" t="str"/>
      <x:c r="U110" s="32" t="str"/>
    </x:row>
    <x:row r="111" ht="42" customHeight="1">
      <x:c r="A111" s="32" t="str">
        <x:v>3 кв проекты 2025 rbi.xlsx::аудит фо 3 кв 2025::42</x:v>
      </x:c>
      <x:c r="B111" s="32" t="str">
        <x:v>3 кв Проекты 2025_RBI.xlsx</x:v>
      </x:c>
      <x:c r="C111" s="32" t="str">
        <x:v>аудит ФО 3 кв 2025</x:v>
      </x:c>
      <x:c r="D111" s="32" t="n">
        <x:v>42</x:v>
      </x:c>
      <x:c r="E111" s="32" t="str">
        <x:v>Товарищество с ограниченной ответственностью "АЛВИС"</x:v>
      </x:c>
      <x:c r="F111" s="32" t="str"/>
      <x:c r="G111" s="32" t="str"/>
      <x:c r="H111" s="32" t="str">
        <x:v>not_found</x:v>
      </x:c>
      <x:c r="I111" s="32" t="str"/>
      <x:c r="J111" s="32" t="n">
        <x:v>0</x:v>
      </x:c>
      <x:c r="K111" s="32" t="str">
        <x:v>not_found</x:v>
      </x:c>
      <x:c r="L111" s="32" t="str">
        <x:v>1. Товарищество с ограниченной ответственностью "Первая ветровая электрическая станция" - Услуги консультационные в области корпоративного управления [38] (4b5d55bc-ef26-4ecc-8f14-b1732eab74f4)
2. Товарищество с ограниченной ответственностью "Темиртауский кварцит" - Услуги по проведению аудита финансовой отчетности [38] (1d878f68-489f-4dce-b20a-23f15e41cf80)
3. Товарищество с ограниченной ответственностью «АЛТЕК Mining», - Услуг по раскрытию сведений о расходах по ЛКУ по Лицензии № 2682-EL от 30.05.2024г.  [38] (0fc47d51-f701-4124-8168-14542accca99)
4. Товарищество с ограниченной ответственностью «БИНОМ АТЫРАУ» - услуг по проведению аудита специального назначения за период с 01 января по 31
декабря 2025 года, согласно Приложению № 1 к настоящему Договору [38] (a0f8ba1b-c71a-46b9-9cc7-251a43a01c20)
5. Товарищество с ограниченной ответственностью «КАЗАХСТАНСКО - КИТАЙСКИЙ ТРУБОПРОВОД» - Услуги по осуществлению проверки/обзору/анализу по налогам [38] (11da851d-153e-4883-91f5-9e5dd853c039)</x:v>
      </x:c>
      <x:c r="M111" s="32" t="str"/>
      <x:c r="N111" s="32" t="str"/>
      <x:c r="O111" s="32" t="str"/>
      <x:c r="P111" s="33" t="b">
        <x:v>0</x:v>
      </x:c>
      <x:c r="Q111" s="32" t="str">
        <x:v>create_candidate</x:v>
      </x:c>
      <x:c r="R111" s="32" t="str">
        <x:v>review_create_or_skip</x:v>
      </x:c>
      <x:c r="S111" s="32" t="str"/>
      <x:c r="T111" s="32" t="str"/>
      <x:c r="U111" s="32" t="str"/>
    </x:row>
    <x:row r="112" ht="42" customHeight="1">
      <x:c r="A112" s="32" t="str">
        <x:v>3 кв проекты 2025 rbi.xlsx::аудит фо 3 кв 2025::43</x:v>
      </x:c>
      <x:c r="B112" s="32" t="str">
        <x:v>3 кв Проекты 2025_RBI.xlsx</x:v>
      </x:c>
      <x:c r="C112" s="32" t="str">
        <x:v>аудит ФО 3 кв 2025</x:v>
      </x:c>
      <x:c r="D112" s="32" t="n">
        <x:v>43</x:v>
      </x:c>
      <x:c r="E112" s="32" t="str">
        <x:v>Товарищество с ограниченной ответственностью "АЛВИС"</x:v>
      </x:c>
      <x:c r="F112" s="32" t="str"/>
      <x:c r="G112" s="32" t="str"/>
      <x:c r="H112" s="32" t="str">
        <x:v>not_found</x:v>
      </x:c>
      <x:c r="I112" s="32" t="str"/>
      <x:c r="J112" s="32" t="n">
        <x:v>0</x:v>
      </x:c>
      <x:c r="K112" s="32" t="str">
        <x:v>not_found</x:v>
      </x:c>
      <x:c r="L112" s="32" t="str">
        <x:v>1. Товарищество с ограниченной ответственностью "Первая ветровая электрическая станция" - Услуги консультационные в области корпоративного управления [38] (4b5d55bc-ef26-4ecc-8f14-b1732eab74f4)
2. Товарищество с ограниченной ответственностью "Темиртауский кварцит" - Услуги по проведению аудита финансовой отчетности [38] (1d878f68-489f-4dce-b20a-23f15e41cf80)
3. Товарищество с ограниченной ответственностью «АЛТЕК Mining», - Услуг по раскрытию сведений о расходах по ЛКУ по Лицензии № 2682-EL от 30.05.2024г.  [38] (0fc47d51-f701-4124-8168-14542accca99)
4. Товарищество с ограниченной ответственностью «БИНОМ АТЫРАУ» - услуг по проведению аудита специального назначения за период с 01 января по 31
декабря 2025 года, согласно Приложению № 1 к настоящему Договору [38] (a0f8ba1b-c71a-46b9-9cc7-251a43a01c20)
5. Товарищество с ограниченной ответственностью «КАЗАХСТАНСКО - КИТАЙСКИЙ ТРУБОПРОВОД» - Услуги по осуществлению проверки/обзору/анализу по налогам [38] (11da851d-153e-4883-91f5-9e5dd853c039)</x:v>
      </x:c>
      <x:c r="M112" s="32" t="str"/>
      <x:c r="N112" s="32" t="str"/>
      <x:c r="O112" s="32" t="str"/>
      <x:c r="P112" s="33" t="b">
        <x:v>0</x:v>
      </x:c>
      <x:c r="Q112" s="32" t="str">
        <x:v>create_candidate</x:v>
      </x:c>
      <x:c r="R112" s="32" t="str">
        <x:v>review_create_or_skip</x:v>
      </x:c>
      <x:c r="S112" s="32" t="str"/>
      <x:c r="T112" s="32" t="str"/>
      <x:c r="U112" s="32" t="str"/>
    </x:row>
    <x:row r="113" ht="42" customHeight="1">
      <x:c r="A113" s="32" t="str">
        <x:v>3 кв проекты 2025 rbi.xlsx::аудит фо 3 кв 2025::44</x:v>
      </x:c>
      <x:c r="B113" s="32" t="str">
        <x:v>3 кв Проекты 2025_RBI.xlsx</x:v>
      </x:c>
      <x:c r="C113" s="32" t="str">
        <x:v>аудит ФО 3 кв 2025</x:v>
      </x:c>
      <x:c r="D113" s="32" t="n">
        <x:v>44</x:v>
      </x:c>
      <x:c r="E113" s="32" t="str">
        <x:v>Товарищество с ограниченной ответственностью "АЛВИС"</x:v>
      </x:c>
      <x:c r="F113" s="32" t="str"/>
      <x:c r="G113" s="32" t="str"/>
      <x:c r="H113" s="32" t="str">
        <x:v>not_found</x:v>
      </x:c>
      <x:c r="I113" s="32" t="str"/>
      <x:c r="J113" s="32" t="n">
        <x:v>0</x:v>
      </x:c>
      <x:c r="K113" s="32" t="str">
        <x:v>not_found</x:v>
      </x:c>
      <x:c r="L113" s="32" t="str">
        <x:v>1. Товарищество с ограниченной ответственностью "Первая ветровая электрическая станция" - Услуги консультационные в области корпоративного управления [38] (4b5d55bc-ef26-4ecc-8f14-b1732eab74f4)
2. Товарищество с ограниченной ответственностью "Темиртауский кварцит" - Услуги по проведению аудита финансовой отчетности [38] (1d878f68-489f-4dce-b20a-23f15e41cf80)
3. Товарищество с ограниченной ответственностью «АЛТЕК Mining», - Услуг по раскрытию сведений о расходах по ЛКУ по Лицензии № 2682-EL от 30.05.2024г.  [38] (0fc47d51-f701-4124-8168-14542accca99)
4. Товарищество с ограниченной ответственностью «БИНОМ АТЫРАУ» - услуг по проведению аудита специального назначения за период с 01 января по 31
декабря 2025 года, согласно Приложению № 1 к настоящему Договору [38] (a0f8ba1b-c71a-46b9-9cc7-251a43a01c20)
5. Товарищество с ограниченной ответственностью «КАЗАХСТАНСКО - КИТАЙСКИЙ ТРУБОПРОВОД» - Услуги по осуществлению проверки/обзору/анализу по налогам [38] (11da851d-153e-4883-91f5-9e5dd853c039)</x:v>
      </x:c>
      <x:c r="M113" s="32" t="str"/>
      <x:c r="N113" s="32" t="str"/>
      <x:c r="O113" s="32" t="str"/>
      <x:c r="P113" s="33" t="b">
        <x:v>0</x:v>
      </x:c>
      <x:c r="Q113" s="32" t="str">
        <x:v>create_candidate</x:v>
      </x:c>
      <x:c r="R113" s="32" t="str">
        <x:v>review_create_or_skip</x:v>
      </x:c>
      <x:c r="S113" s="32" t="str"/>
      <x:c r="T113" s="32" t="str"/>
      <x:c r="U113" s="32" t="str"/>
    </x:row>
    <x:row r="114" ht="42" customHeight="1">
      <x:c r="A114" s="32" t="str">
        <x:v>4 кв проекты 2024 rbi.xlsx::проекты 4 кв 2024::9</x:v>
      </x:c>
      <x:c r="B114" s="32" t="str">
        <x:v>4 кв Проекты 2024_RBI.xlsx</x:v>
      </x:c>
      <x:c r="C114" s="32" t="str">
        <x:v>Проекты 4 кв 2024 </x:v>
      </x:c>
      <x:c r="D114" s="32" t="n">
        <x:v>9</x:v>
      </x:c>
      <x:c r="E114" s="32" t="str">
        <x:v>АО Компания по страх жизни ГАК</x:v>
      </x:c>
      <x:c r="F114" s="32" t="str"/>
      <x:c r="G114" s="32" t="str"/>
      <x:c r="H114" s="32" t="str">
        <x:v>not_found</x:v>
      </x:c>
      <x:c r="I114" s="32" t="str"/>
      <x:c r="J114" s="32" t="n">
        <x:v>0</x:v>
      </x:c>
      <x:c r="K114" s="32" t="str">
        <x:v>not_found</x:v>
      </x:c>
      <x:c r="L114" s="32" t="str">
        <x:v>1. АО "Компания по страхованию жизни "Государственная аннуитетная компания" [38] (83231bb0-033f-4863-a9d9-7d724f7fd957)
2. АО "Компания по страхованию жизни "Государственная аннуитетная компания" [38] (c269f1b0-ce0c-421a-9bbb-e6a33cca3597)
3. АО "Компания по страхованию жизни "Государственная аннуитетная компания" [38] (9bba5414-c818-4bc5-8964-91d7ca399b66)
4. АО "Компания по страхованию жизни "Государственная аннуитетная компания" [38] (75b86eff-8739-4187-9517-243c7f71cc53)
5. АО "Компания по страхованию жизни "Государственная аннуитетная компания" [38] (065bd0d8-b928-4239-aeae-698131f43a64)</x:v>
      </x:c>
      <x:c r="M114" s="32" t="str"/>
      <x:c r="N114" s="32" t="str"/>
      <x:c r="O114" s="32" t="str"/>
      <x:c r="P114" s="33" t="b">
        <x:v>0</x:v>
      </x:c>
      <x:c r="Q114" s="32" t="str">
        <x:v>create_candidate</x:v>
      </x:c>
      <x:c r="R114" s="32" t="str">
        <x:v>review_create_or_skip</x:v>
      </x:c>
      <x:c r="S114" s="32" t="str"/>
      <x:c r="T114" s="32" t="str"/>
      <x:c r="U114" s="32" t="str"/>
    </x:row>
    <x:row r="115" ht="42" customHeight="1">
      <x:c r="A115" s="32" t="str">
        <x:v>4 кв проекты 2024 rbi.xlsx::спец аудит 2024 4 кв::3</x:v>
      </x:c>
      <x:c r="B115" s="32" t="str">
        <x:v>4 кв Проекты 2024_RBI.xlsx</x:v>
      </x:c>
      <x:c r="C115" s="32" t="str">
        <x:v>спец аудит 2024 4 кв</x:v>
      </x:c>
      <x:c r="D115" s="32" t="n">
        <x:v>3</x:v>
      </x:c>
      <x:c r="E115" s="32" t="str">
        <x:v>ТОО НИИ проблем биологической безопасности</x:v>
      </x:c>
      <x:c r="F115" s="32" t="str">
        <x:v>спец аудит</x:v>
      </x:c>
      <x:c r="G115" s="32" t="str">
        <x:v>ТОО Russell Bedford A+ Partners</x:v>
      </x:c>
      <x:c r="H115" s="32" t="str">
        <x:v>not_found</x:v>
      </x:c>
      <x:c r="I115" s="32" t="str"/>
      <x:c r="J115" s="32" t="n">
        <x:v>0</x:v>
      </x:c>
      <x:c r="K115" s="32" t="str">
        <x:v>not_found</x:v>
      </x:c>
      <x:c r="L115" s="32" t="str">
        <x:v>1. ТОО "Научно-исследовательский институт
проблем биологической безопасности" [38] (4e2aad99-4b52-4844-bf96-30ec5b268d64)
2. 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 [15] (03813a13-459e-4d7f-ac17-8e2d050faccd)
3. Частная компания Unicorn Holdings Limited - услуг по проведению аудита финансовой отчетности Частной компании Unicorn Holdings Limited, за 2024 год, в соответствии с МСФО и МСА. Валюта презентации финансовой отчетности – в долларах США или в тенге [15] (a853d618-a602-42e9-8a7b-551d9680cc4f)</x:v>
      </x:c>
      <x:c r="M115" s="32" t="str"/>
      <x:c r="N115" s="32" t="str"/>
      <x:c r="O115" s="32" t="str">
        <x:v>Арнабеков Ерлан [partner]
Алдонгаров Газиз Сериккалиевич [manager_1]</x:v>
      </x:c>
      <x:c r="P115" s="33" t="b">
        <x:v>0</x:v>
      </x:c>
      <x:c r="Q115" s="32" t="str">
        <x:v>create_candidate</x:v>
      </x:c>
      <x:c r="R115" s="32" t="str">
        <x:v>review_create_or_skip</x:v>
      </x:c>
      <x:c r="S115" s="32" t="str"/>
      <x:c r="T115" s="32" t="str"/>
      <x:c r="U115" s="32" t="str"/>
    </x:row>
    <x:row r="116" ht="42" customHeight="1">
      <x:c r="A116" s="32" t="str">
        <x:v>4 кв проекты 2024 rbi.xlsx::спец аудит 2024 4 кв::4</x:v>
      </x:c>
      <x:c r="B116" s="32" t="str">
        <x:v>4 кв Проекты 2024_RBI.xlsx</x:v>
      </x:c>
      <x:c r="C116" s="32" t="str">
        <x:v>спец аудит 2024 4 кв</x:v>
      </x:c>
      <x:c r="D116" s="32" t="n">
        <x:v>4</x:v>
      </x:c>
      <x:c r="E116" s="32" t="str">
        <x:v>Филиал АО НК Қазақстан темір жолы</x:v>
      </x:c>
      <x:c r="F116" s="32" t="str">
        <x:v>спец аудит</x:v>
      </x:c>
      <x:c r="G116" s="32" t="str">
        <x:v>ТОО Russell Bedford A+ Partners</x:v>
      </x:c>
      <x:c r="H116" s="32" t="str">
        <x:v>not_found</x:v>
      </x:c>
      <x:c r="I116" s="32" t="str"/>
      <x:c r="J116" s="32" t="n">
        <x:v>0</x:v>
      </x:c>
      <x:c r="K116" s="32" t="str">
        <x:v>not_found</x:v>
      </x:c>
      <x:c r="L116" s="32" t="str">
        <x:v>1. АО "Национальная компания "Қазақстан темір жолы" [30] (a33031d1-f84f-4fd8-9f19-132890a71d0d)
2. Акционерное общество "Национальная платежная корпорация Национального Банка Республики Казахстан" - АУДИТ за 2024 [12] (49694440-aee8-4cf4-af94-a8d4ef55a462)</x:v>
      </x:c>
      <x:c r="M116" s="32" t="str"/>
      <x:c r="N116" s="32" t="str"/>
      <x:c r="O116" s="32" t="str">
        <x:v>Арнабеков Ерлан [partner]
Алдонгаров Газиз Сериккалиевич [manager_1]
Медекенов Марат Макунович [manager_1]</x:v>
      </x:c>
      <x:c r="P116" s="33" t="b">
        <x:v>0</x:v>
      </x:c>
      <x:c r="Q116" s="32" t="str">
        <x:v>create_candidate</x:v>
      </x:c>
      <x:c r="R116" s="32" t="str">
        <x:v>review_create_or_skip</x:v>
      </x:c>
      <x:c r="S116" s="32" t="str"/>
      <x:c r="T116" s="32" t="str"/>
      <x:c r="U116" s="32" t="str"/>
    </x:row>
    <x:row r="117" ht="42" customHeight="1">
      <x:c r="A117" s="32" t="str">
        <x:v>4 кв проекты 2024 rbi.xlsx::консульт услуги 2024 4 кв::2</x:v>
      </x:c>
      <x:c r="B117" s="32" t="str">
        <x:v>4 кв Проекты 2024_RBI.xlsx</x:v>
      </x:c>
      <x:c r="C117" s="32" t="str">
        <x:v>консульт услуги 2024 4 кв</x:v>
      </x:c>
      <x:c r="D117" s="32" t="n">
        <x:v>2</x:v>
      </x:c>
      <x:c r="E117" s="32" t="str">
        <x:v>Flexagon Advisory Services Limited</x:v>
      </x:c>
      <x:c r="F117" s="32" t="str"/>
      <x:c r="G117" s="32" t="str"/>
      <x:c r="H117" s="32" t="str">
        <x:v>not_found</x:v>
      </x:c>
      <x:c r="I117" s="32" t="str"/>
      <x:c r="J117" s="32" t="n">
        <x:v>0</x:v>
      </x:c>
      <x:c r="K117" s="32" t="str">
        <x:v>not_found</x:v>
      </x:c>
      <x:c r="L117" s="32" t="str"/>
      <x:c r="M117" s="32" t="str"/>
      <x:c r="N117" s="32" t="str"/>
      <x:c r="O117" s="32" t="str"/>
      <x:c r="P117" s="33" t="b">
        <x:v>0</x:v>
      </x:c>
      <x:c r="Q117" s="32" t="str">
        <x:v>create_candidate</x:v>
      </x:c>
      <x:c r="R117" s="32" t="str">
        <x:v>review_create_or_skip</x:v>
      </x:c>
      <x:c r="S117" s="32" t="str"/>
      <x:c r="T117" s="32" t="str"/>
      <x:c r="U117" s="32" t="str"/>
    </x:row>
    <x:row r="118" ht="42" customHeight="1">
      <x:c r="A118" s="32" t="str">
        <x:v>4 кв проекты 2024 rbi.xlsx::консульт услуги 2024 4 кв::3</x:v>
      </x:c>
      <x:c r="B118" s="32" t="str">
        <x:v>4 кв Проекты 2024_RBI.xlsx</x:v>
      </x:c>
      <x:c r="C118" s="32" t="str">
        <x:v>консульт услуги 2024 4 кв</x:v>
      </x:c>
      <x:c r="D118" s="32" t="n">
        <x:v>3</x:v>
      </x:c>
      <x:c r="E118" s="32" t="str">
        <x:v>Сапаргали Азамат Аскарулы</x:v>
      </x:c>
      <x:c r="F118" s="32" t="str"/>
      <x:c r="G118" s="32" t="str"/>
      <x:c r="H118" s="32" t="str">
        <x:v>not_found</x:v>
      </x:c>
      <x:c r="I118" s="32" t="str"/>
      <x:c r="J118" s="32" t="n">
        <x:v>0</x:v>
      </x:c>
      <x:c r="K118" s="32" t="str">
        <x:v>not_found</x:v>
      </x:c>
      <x:c r="L118" s="32" t="str"/>
      <x:c r="M118" s="32" t="str"/>
      <x:c r="N118" s="32" t="str"/>
      <x:c r="O118" s="32" t="str"/>
      <x:c r="P118" s="33" t="b">
        <x:v>0</x:v>
      </x:c>
      <x:c r="Q118" s="32" t="str">
        <x:v>create_candidate</x:v>
      </x:c>
      <x:c r="R118" s="32" t="str">
        <x:v>review_create_or_skip</x:v>
      </x:c>
      <x:c r="S118" s="32" t="str"/>
      <x:c r="T118" s="32" t="str"/>
      <x:c r="U118" s="32" t="str"/>
    </x:row>
    <x:row r="119" ht="42" customHeight="1">
      <x:c r="A119" s="32" t="str">
        <x:v>4 кв проекты 2024 rbi.xlsx::консульт услуги 2024 4 кв::4</x:v>
      </x:c>
      <x:c r="B119" s="32" t="str">
        <x:v>4 кв Проекты 2024_RBI.xlsx</x:v>
      </x:c>
      <x:c r="C119" s="32" t="str">
        <x:v>консульт услуги 2024 4 кв</x:v>
      </x:c>
      <x:c r="D119" s="32" t="n">
        <x:v>4</x:v>
      </x:c>
      <x:c r="E119" s="32" t="str">
        <x:v>ТОО Pioneer Capital Invest</x:v>
      </x:c>
      <x:c r="F119" s="32" t="str"/>
      <x:c r="G119" s="32" t="str"/>
      <x:c r="H119" s="32" t="str">
        <x:v>not_found</x:v>
      </x:c>
      <x:c r="I119" s="32" t="str"/>
      <x:c r="J119" s="32" t="n">
        <x:v>0</x:v>
      </x:c>
      <x:c r="K119" s="32" t="str">
        <x:v>not_found</x:v>
      </x:c>
      <x:c r="L119" s="32" t="str">
        <x:v>1. Частная компания Qazaqstan Investment Capital Management Ltd. - аудиторские услуги, включая Сопутствующие услуги, по проведению аудита отдельной финансовой отчетности Заказчика, подготовленные в соответствии с МСФО и в соответствии с перечнем, формами, утвержденными нормативным актом уполномоченного государственного органа Республики Казахстан в соответствии с Законом Республики Казахстан №234-III «О бухгалтерском учете и финансовой отчетности» по состоянию за год, заканчивающийся 31 декабря 2025 года [33] (b1e705c4-ce8d-41e1-b13c-8ff8120a7b6b)</x:v>
      </x:c>
      <x:c r="M119" s="32" t="str"/>
      <x:c r="N119" s="32" t="str"/>
      <x:c r="O119" s="32" t="str"/>
      <x:c r="P119" s="33" t="b">
        <x:v>0</x:v>
      </x:c>
      <x:c r="Q119" s="32" t="str">
        <x:v>create_candidate</x:v>
      </x:c>
      <x:c r="R119" s="32" t="str">
        <x:v>review_create_or_skip</x:v>
      </x:c>
      <x:c r="S119" s="32" t="str"/>
      <x:c r="T119" s="32" t="str"/>
      <x:c r="U119" s="32" t="str"/>
    </x:row>
    <x:row r="120" ht="42" customHeight="1">
      <x:c r="A120" s="32" t="str">
        <x:v>4 кв проекты 2025 rbi.xlsx::проекты 4 кв 2025::9</x:v>
      </x:c>
      <x:c r="B120" s="32" t="str">
        <x:v>4 кв Проекты 2025_RBI.xlsx</x:v>
      </x:c>
      <x:c r="C120" s="32" t="str">
        <x:v>Проекты 4 кв 2025</x:v>
      </x:c>
      <x:c r="D120" s="32" t="n">
        <x:v>9</x:v>
      </x:c>
      <x:c r="E120" s="32" t="str">
        <x:v>ТОО Клиринговый центр ETC</x:v>
      </x:c>
      <x:c r="F120" s="32" t="str">
        <x:v>Аудит ФО</x:v>
      </x:c>
      <x:c r="G120" s="32" t="str">
        <x:v>ТОО Russell Bedford A+ Partners</x:v>
      </x:c>
      <x:c r="H120" s="32" t="str">
        <x:v>not_found</x:v>
      </x:c>
      <x:c r="I120" s="32" t="str"/>
      <x:c r="J120" s="32" t="n">
        <x:v>0</x:v>
      </x:c>
      <x:c r="K120" s="32" t="str">
        <x:v>not_found</x:v>
      </x:c>
      <x:c r="L120" s="32" t="str">
        <x:v>1. АО Центр электронных финансов - Аудит годовой финансовой отчетности Заказчика за год, заканчивающийся 31 декабря 2025 года [31] (a451d4a1-b937-4a3d-8e8a-c3ee220300ce)
2. Объединение юридических лиц «Ассоциация «Сеть Глобального Договора в Центральной Азии»» - услуги по проведению аудита финансовой отчетности Объединения юридических лиц «Ассоциация «Сеть Глобального Договора в Центральной Азии» (дата государственной регистрации — 04.06.2025 г.) за 2025 год, подготовленной в соответствии с Международными стандартами финансовой отчетности (МСФО)  [31] (f7ec272b-1b49-4bd9-ba91-260395e02139)
3. Филиал Корпорации «Центры для международных программ» в Казахстане - аудит финансовой отчетности Филиала Корпорации «Центры для международных программ» в Казахстане за год, закончившийся 31 декабря 2025 года, в соответствии с местными стандартами  [31] (f5ae0bdd-6a9b-4662-93fc-a2964123b51a)
4. Филиал Корпорации «Центры для международных программ» в Казахстане - аудит финансовой отчетности Филиала Корпорации «Центры для международных программ» в Казахстане за год, закончившийся 31 декабря 2025 года, в соответствии с местными стандартами  [31] (6c057e87-76cb-4b22-bdb3-ec0ee8da63bb)
5. Филиал Корпорации «Центры для международных программ» в Казахстане» - аудит финансовой отчетности Филиала Корпорации «Центры для международных программ» в Казахстане за год, закончившийся 31 декабря 2025 года, в соответствии с местными стандартами  [31] (61d18bc8-f0f6-4b9b-b4c3-3a84bbd29dc6)</x:v>
      </x:c>
      <x:c r="M120" s="32" t="str"/>
      <x:c r="N120" s="32" t="str"/>
      <x:c r="O120" s="32" t="str"/>
      <x:c r="P120" s="33" t="b">
        <x:v>0</x:v>
      </x:c>
      <x:c r="Q120" s="32" t="str">
        <x:v>create_candidate</x:v>
      </x:c>
      <x:c r="R120" s="32" t="str">
        <x:v>review_create_or_skip</x:v>
      </x:c>
      <x:c r="S120" s="32" t="str"/>
      <x:c r="T120" s="32" t="str"/>
      <x:c r="U120" s="32" t="str"/>
    </x:row>
    <x:row r="121" ht="42" customHeight="1">
      <x:c r="A121" s="32" t="str">
        <x:v>4 кв проекты 2025 rbi.xlsx::спец аудит 2025 4 кв::2</x:v>
      </x:c>
      <x:c r="B121" s="32" t="str">
        <x:v>4 кв Проекты 2025_RBI.xlsx</x:v>
      </x:c>
      <x:c r="C121" s="32" t="str">
        <x:v>спец аудит 2025 4 кв</x:v>
      </x:c>
      <x:c r="D121" s="32" t="n">
        <x:v>2</x:v>
      </x:c>
      <x:c r="E121" s="32" t="str">
        <x:v>минфин РК</x:v>
      </x:c>
      <x:c r="F121" s="32" t="str">
        <x:v>спец аудит</x:v>
      </x:c>
      <x:c r="G121" s="32" t="str">
        <x:v>ТОО МАК Russell Bedford A+ Partners</x:v>
      </x:c>
      <x:c r="H121" s="32" t="str">
        <x:v>not_found</x:v>
      </x:c>
      <x:c r="I121" s="32" t="str"/>
      <x:c r="J121" s="32" t="n">
        <x:v>0</x:v>
      </x:c>
      <x:c r="K121" s="32" t="str">
        <x:v>not_found</x:v>
      </x:c>
      <x:c r="L121" s="32" t="str">
        <x:v>1. Акционерное общество "Социально-предпринимательская корпорация "Сарыарка" - Услуги по проведению аудита финансовой отчетности [37] (d4e2f0e3-63d3-4ff4-948e-fa6883a6d2ef)
2. АО Социально-предпринимательская корпорация "Сарыарка - Услуги по проведению аудита финансовой отчетности; [37] (52d118b5-5ff3-4133-8236-8f11ba4fd53a)
3. АО Социально-предпринимательская корпорация "Сарыарка" - Услуги по проведению аудита финансовой отчетности; [37] (1e912d8d-f623-4c3e-8431-7be84fa3cd31)
4. ТАЗА СУ (ПАРКЕР) - АУДИТ за 2024 [37] (e9767dda-2965-4d5a-9ad2-c6b5a097ffe0)
5. Товарищество с ограниченной ответственностью «Crown Star» - услуг по проведению аудита комбинированной финансовой отчетности 8 компании (ТОО «Crown Star», ИП  «Мадина Оручева», ИП «Гульмамедов», ИП «МАНГО», ИП «Сулиева», ИП «Севастьянова», «H.N.S.» Turizm Insaat Elektronik Sanayi Ve Ticaret A.S. (Х.Н.С.» Туризм Иншаат Элетроник Санайи Ве Тиджарет Аноним Ширкети) и АО «H.N.S.» Turizm Insaat Elektronik Sanayi Ve Ticaret A.S.») за 2025 год, подготовленной в соответствии с международными стандартами финансовой отчетности (МСФО)  [37] (6de1b073-f432-4e40-905f-2deb60df3dd2)</x:v>
      </x:c>
      <x:c r="M121" s="32" t="str"/>
      <x:c r="N121" s="32" t="str"/>
      <x:c r="O121" s="32" t="str">
        <x:v>Арнабеков Ерлан [partner]
Алдонгаров Газиз Сериккалиевич [manager_1]</x:v>
      </x:c>
      <x:c r="P121" s="33" t="b">
        <x:v>0</x:v>
      </x:c>
      <x:c r="Q121" s="32" t="str">
        <x:v>create_candidate</x:v>
      </x:c>
      <x:c r="R121" s="32" t="str">
        <x:v>review_create_or_skip</x:v>
      </x:c>
      <x:c r="S121" s="32" t="str"/>
      <x:c r="T121" s="32" t="str"/>
      <x:c r="U121" s="32" t="str"/>
    </x:row>
    <x:row r="122" ht="42" customHeight="1">
      <x:c r="A122" s="32" t="str">
        <x:v>4 кв проекты 2025 rbi.xlsx::спец аудит 2025 4 кв::3</x:v>
      </x:c>
      <x:c r="B122" s="32" t="str">
        <x:v>4 кв Проекты 2025_RBI.xlsx</x:v>
      </x:c>
      <x:c r="C122" s="32" t="str">
        <x:v>спец аудит 2025 4 кв</x:v>
      </x:c>
      <x:c r="D122" s="32" t="n">
        <x:v>3</x:v>
      </x:c>
      <x:c r="E122" s="32" t="str">
        <x:v>АО Нац Компания " Казахстан Темир Жолы "</x:v>
      </x:c>
      <x:c r="F122" s="32" t="str">
        <x:v>спец аудит</x:v>
      </x:c>
      <x:c r="G122" s="32" t="str">
        <x:v>ТОО МАК Russell Bedford A+ Partners</x:v>
      </x:c>
      <x:c r="H122" s="32" t="str">
        <x:v>not_found</x:v>
      </x:c>
      <x:c r="I122" s="32" t="str"/>
      <x:c r="J122" s="32" t="n">
        <x:v>0</x:v>
      </x:c>
      <x:c r="K122" s="32" t="str">
        <x:v>not_found</x:v>
      </x:c>
      <x:c r="L122" s="32" t="str">
        <x:v>1. АО "Национальная компания "Қазақстан темір жолы" [38] (a33031d1-f84f-4fd8-9f19-132890a71d0d)
2. Акционерное общество "Национальная платежная корпорация Национального Банка Республики Казахстан" - АУДИТ за 2024 [37] (49694440-aee8-4cf4-af94-a8d4ef55a462)
3. АО «Национальная платежная корпорация Национального Банка Республики Казахстан» [25] (bef2ac7d-ef84-44fe-a70d-3adbbfa9d332)</x:v>
      </x:c>
      <x:c r="M122" s="32" t="str"/>
      <x:c r="N122" s="32" t="str"/>
      <x:c r="O122" s="32" t="str">
        <x:v>Арнабеков Ерлан [partner]
Алдонгаров Газиз Сериккалиевич [manager_1]</x:v>
      </x:c>
      <x:c r="P122" s="33" t="b">
        <x:v>0</x:v>
      </x:c>
      <x:c r="Q122" s="32" t="str">
        <x:v>create_candidate</x:v>
      </x:c>
      <x:c r="R122" s="32" t="str">
        <x:v>review_create_or_skip</x:v>
      </x:c>
      <x:c r="S122" s="32" t="str"/>
      <x:c r="T122" s="32" t="str"/>
      <x:c r="U122" s="32" t="str"/>
    </x:row>
    <x:row r="123" ht="42" customHeight="1">
      <x:c r="A123" s="32" t="str">
        <x:v>4 кв проекты 2025 rbi.xlsx::спец аудит 2025 4 кв::4</x:v>
      </x:c>
      <x:c r="B123" s="32" t="str">
        <x:v>4 кв Проекты 2025_RBI.xlsx</x:v>
      </x:c>
      <x:c r="C123" s="32" t="str">
        <x:v>спец аудит 2025 4 кв</x:v>
      </x:c>
      <x:c r="D123" s="32" t="n">
        <x:v>4</x:v>
      </x:c>
      <x:c r="E123" s="32" t="str">
        <x:v>ТОО НИИ Проблем биологической безопасности</x:v>
      </x:c>
      <x:c r="F123" s="32" t="str">
        <x:v>спец аудит</x:v>
      </x:c>
      <x:c r="G123" s="32" t="str">
        <x:v>ТОО МАК Russell Bedford A+ Partners</x:v>
      </x:c>
      <x:c r="H123" s="32" t="str">
        <x:v>not_found</x:v>
      </x:c>
      <x:c r="I123" s="32" t="str"/>
      <x:c r="J123" s="32" t="n">
        <x:v>0</x:v>
      </x:c>
      <x:c r="K123" s="32" t="str">
        <x:v>not_found</x:v>
      </x:c>
      <x:c r="L123" s="32" t="str">
        <x:v>1. ТОО "Научно-исследовательский институт
проблем биологической безопасности" [38] (4e2aad99-4b52-4844-bf96-30ec5b268d64)</x:v>
      </x:c>
      <x:c r="M123" s="32" t="str"/>
      <x:c r="N123" s="32" t="str"/>
      <x:c r="O123" s="32" t="str">
        <x:v>Арнабеков Ерлан [partner]
Алдонгаров Газиз Сериккалиевич [manager_1]</x:v>
      </x:c>
      <x:c r="P123" s="33" t="b">
        <x:v>0</x:v>
      </x:c>
      <x:c r="Q123" s="32" t="str">
        <x:v>create_candidate</x:v>
      </x:c>
      <x:c r="R123" s="32" t="str">
        <x:v>review_create_or_skip</x:v>
      </x:c>
      <x:c r="S123" s="32" t="str"/>
      <x:c r="T123" s="32" t="str"/>
      <x:c r="U123" s="32" t="str"/>
    </x:row>
    <x:row r="124" ht="42" customHeight="1">
      <x:c r="A124" s="32" t="str">
        <x:v>гульмира аудит фо 2025 2026 проекты.xlsx::главный::16</x:v>
      </x:c>
      <x:c r="B124" s="32" t="str">
        <x:v>Гульмира_Аудит ФО 2025-2026_Проекты.xlsx</x:v>
      </x:c>
      <x:c r="C124" s="32" t="str">
        <x:v>Главный</x:v>
      </x:c>
      <x:c r="D124" s="32" t="n">
        <x:v>16</x:v>
      </x:c>
      <x:c r="E124" s="32" t="str">
        <x:v>ТОО "Айдарлы"</x:v>
      </x:c>
      <x:c r="F124" s="32" t="str">
        <x:v>аудит ФО 2025</x:v>
      </x:c>
      <x:c r="G124" s="32" t="str">
        <x:v>ТОО МАК "RB Partners"</x:v>
      </x:c>
      <x:c r="H124" s="32" t="str">
        <x:v>not_found</x:v>
      </x:c>
      <x:c r="I124" s="32" t="str"/>
      <x:c r="J124" s="32" t="n">
        <x:v>0</x:v>
      </x:c>
      <x:c r="K124" s="32" t="str">
        <x:v>not_found</x:v>
      </x:c>
      <x:c r="L124" s="32" t="str"/>
      <x:c r="M124" s="32" t="str"/>
      <x:c r="N124" s="32" t="str"/>
      <x:c r="O124" s="32" t="str">
        <x:v>Арнабеков Ерлан [partner]
Сейфуллина Гульмира Саятхановна [project_leader]</x:v>
      </x:c>
      <x:c r="P124" s="33" t="b">
        <x:v>0</x:v>
      </x:c>
      <x:c r="Q124" s="32" t="str">
        <x:v>create_candidate</x:v>
      </x:c>
      <x:c r="R124" s="32" t="str">
        <x:v>review_create_or_skip</x:v>
      </x:c>
      <x:c r="S124" s="32" t="str"/>
      <x:c r="T124" s="32" t="str"/>
      <x:c r="U124" s="32" t="str"/>
    </x:row>
    <x:row r="125" ht="42" customHeight="1">
      <x:c r="A125" s="32" t="str">
        <x:v>гульмира аудит фо 2025 2026 проекты.xlsx::главный::27</x:v>
      </x:c>
      <x:c r="B125" s="32" t="str">
        <x:v>Гульмира_Аудит ФО 2025-2026_Проекты.xlsx</x:v>
      </x:c>
      <x:c r="C125" s="32" t="str">
        <x:v>Главный</x:v>
      </x:c>
      <x:c r="D125" s="32" t="n">
        <x:v>27</x:v>
      </x:c>
      <x:c r="E125" s="32" t="str">
        <x:v>ЧК ДТМ (Бизон)</x:v>
      </x:c>
      <x:c r="F125" s="32" t="str">
        <x:v>аудит ФО 2025</x:v>
      </x:c>
      <x:c r="G125" s="32" t="str">
        <x:v>ЧК "RB Partners"</x:v>
      </x:c>
      <x:c r="H125" s="32" t="str">
        <x:v>not_found</x:v>
      </x:c>
      <x:c r="I125" s="32" t="str"/>
      <x:c r="J125" s="32" t="n">
        <x:v>0</x:v>
      </x:c>
      <x:c r="K125" s="32" t="str">
        <x:v>not_found</x:v>
      </x:c>
      <x:c r="L125" s="32" t="str">
        <x:v>1. ООО «БИЗон» [25] (30ae34b7-abf2-44d1-a16d-902f3dc78c88)
2. Частная компания ДТМ Казахстан Лтд - услуги по оценке права требования по платежам по договору цессии, согласно Заданию на оценку (Приложение 1) [25] (05ff0d22-3578-47c4-8919-3de2a30f7fa8)
3. Частная Компания ДТМ Казахстан Лтд (старое название ЧК «BiZone Kazakhstan Ltd.») [25] (5293b73b-6d70-42d6-a6c0-6417b820ddbd)
4. Частная Компания ДТМ Казахстан Лтд (старое название ЧК «BiZone Kazakhstan Ltd.») [25] (30abc8a9-6a9f-4231-a1b7-48f6b0fe1dbc)
5. Частная Компания ДТМ Казахстан Лтд (старое название ЧК «BiZone Kazakhstan Ltd.») [25] (e4e60598-aebf-4523-a45f-776310ed8577)</x:v>
      </x:c>
      <x:c r="M125" s="32" t="str"/>
      <x:c r="N125" s="32" t="str"/>
      <x:c r="O125" s="32" t="str">
        <x:v>Шынгыс Сартаев [partner]
Сейфуллина Гульмира Саятхановна [project_leader]</x:v>
      </x:c>
      <x:c r="P125" s="33" t="b">
        <x:v>0</x:v>
      </x:c>
      <x:c r="Q125" s="32" t="str">
        <x:v>create_candidate</x:v>
      </x:c>
      <x:c r="R125" s="32" t="str">
        <x:v>review_create_or_skip</x:v>
      </x:c>
      <x:c r="S125" s="32" t="str"/>
      <x:c r="T125" s="32" t="str"/>
      <x:c r="U125" s="32" t="str"/>
    </x:row>
    <x:row r="126" ht="42" customHeight="1">
      <x:c r="A126" s="32" t="str">
        <x:v>сейфулина проекты октябрь 2024 октябрь 2025.xlsx::parker kazakhstan::5</x:v>
      </x:c>
      <x:c r="B126" s="32" t="str">
        <x:v>Сейфулина_Проекты октябрь 2024-октябрь 2025.xlsx</x:v>
      </x:c>
      <x:c r="C126" s="32" t="str">
        <x:v>Parker Kazakhstan</x:v>
      </x:c>
      <x:c r="D126" s="32" t="n">
        <x:v>5</x:v>
      </x:c>
      <x:c r="E126" s="32" t="str">
        <x:v>ТОО "Ирбис Логистикс"</x:v>
      </x:c>
      <x:c r="F126" s="32" t="str">
        <x:v>Аудит ФО за 2024 г.</x:v>
      </x:c>
      <x:c r="G126" s="32" t="str"/>
      <x:c r="H126" s="32" t="str">
        <x:v>not_found</x:v>
      </x:c>
      <x:c r="I126" s="32" t="str"/>
      <x:c r="J126" s="32" t="n">
        <x:v>0</x:v>
      </x:c>
      <x:c r="K126" s="32" t="str">
        <x:v>not_found</x:v>
      </x:c>
      <x:c r="L126" s="32" t="str">
        <x:v>1. ТОО «Irbis Logistic (Ирбис Логистик)» [25] (03187b53-206c-4942-8ff3-0c0231a25026)
2. ТОО «Kyran logistics (Қыран логистикс)» [25] (09aefea7-d757-4ecd-b761-39062d66c721)</x:v>
      </x:c>
      <x:c r="M126" s="32" t="str"/>
      <x:c r="N126" s="32" t="str"/>
      <x:c r="O126" s="32" t="str">
        <x:v>Рахматулла Арман [partner]
Сейфуллина Гульмира Саятхановна [project_leader]
Ерлан Худайберген [tax_specialist_1]
Арнабекова Гулшат [manager_1]
Чалова Гульжан [manager_1]</x:v>
      </x:c>
      <x:c r="P126" s="33" t="b">
        <x:v>0</x:v>
      </x:c>
      <x:c r="Q126" s="32" t="str">
        <x:v>create_candidate</x:v>
      </x:c>
      <x:c r="R126" s="32" t="str">
        <x:v>review_create_or_skip</x:v>
      </x:c>
      <x:c r="S126" s="32" t="str"/>
      <x:c r="T126" s="32" t="str"/>
      <x:c r="U126" s="32" t="str"/>
    </x:row>
    <x:row r="127" ht="42" customHeight="1">
      <x:c r="A127" s="32" t="str">
        <x:v>сейфулина проекты октябрь 2024 октябрь 2025.xlsx::мак rb partners::10</x:v>
      </x:c>
      <x:c r="B127" s="32" t="str">
        <x:v>Сейфулина_Проекты октябрь 2024-октябрь 2025.xlsx</x:v>
      </x:c>
      <x:c r="C127" s="32" t="str">
        <x:v>МАК RB Partners</x:v>
      </x:c>
      <x:c r="D127" s="32" t="n">
        <x:v>10</x:v>
      </x:c>
      <x:c r="E127" s="32" t="str">
        <x:v>ТОО ДО КНИСК (Шымкент)</x:v>
      </x:c>
      <x:c r="F127" s="32" t="str">
        <x:v>Аудит ФО за 2024 г.</x:v>
      </x:c>
      <x:c r="G127" s="32" t="str"/>
      <x:c r="H127" s="32" t="str">
        <x:v>not_found</x:v>
      </x:c>
      <x:c r="I127" s="32" t="str"/>
      <x:c r="J127" s="32" t="n">
        <x:v>0</x:v>
      </x:c>
      <x:c r="K127" s="32" t="str">
        <x:v>not_found</x:v>
      </x:c>
      <x:c r="L127" s="32" t="str">
        <x:v>1. АО «Национальные информационные технологии» - на безвозмездное оказание аудиторских услуг - услуг по проведению аудита отдельной и консолидированной финансовой отчетности Акционерного общества «Национальные информационные технологии», заканчивающийся 31.12.2025 года, подготовленной в соответствии с Международными Стандартами Финансовой Отчетности, для предоставления и размещения на фондовой бирже KASE.KZ и не используется для иных целей, в том числе для бухгалтерского и налогового учета Заказчика  [31] (905166ec-326e-4e60-9273-fce0d09191f7)
2. АО Центр электронных финансов - Аудит годовой финансовой отчетности Заказчика за год, заканчивающийся 31 декабря 2025 года [31] (a451d4a1-b937-4a3d-8e8a-c3ee220300ce)
3. АО Шымкентмай - услуг по проведению аудита финансовой отчетности АО «Шымкент Май» за период с 1 января 2025 года по 31 декабря 2025 года, подготовленной в соответствии с Международными Стандартами Финансовой Отчетности  [31] (19a1559b-f468-48a5-afc5-61c502f22cba)
4. Компания специального назначения FF IUIF Fixed Income USD SPC Limited  - услуг по проведению аудита финансовой отчетности Компании специального назначения FF IUIF Fixed Income USD SPC Limited за период 2025 год (далее – «Услуги») по стандартам МСФО. Валюта презентации финансовой отчетности – в долларах США [31] (7673a94d-c82a-4731-b844-2fd0cab19c9d)
5. Компания специального назначения Fund of Initial Public Offerings SPC Limited  - услуг по проведению аудита финансовой отчетности Компании специального назначения FF IUIF Fixed Income USD SPC Limited за период 2025 год (далее – «Услуги») по стандартам МСФО. Валюта презентации финансовой отчетности – в долларах США [31] (f4c26e33-c26b-4422-9248-a36ce407d4e4)</x:v>
      </x:c>
      <x:c r="M127" s="32" t="str"/>
      <x:c r="N127" s="32" t="str"/>
      <x:c r="O127" s="32" t="str">
        <x:v>Арнабеков Ерлан [partner]
Сейфуллина Гульмира Саятхановна [project_leader]
Арнабекова Гулшат [manager_1]
Чалова Гульжан [manager_1]</x:v>
      </x:c>
      <x:c r="P127" s="33" t="b">
        <x:v>0</x:v>
      </x:c>
      <x:c r="Q127" s="32" t="str">
        <x:v>create_candidate</x:v>
      </x:c>
      <x:c r="R127" s="32" t="str">
        <x:v>review_create_or_skip</x:v>
      </x:c>
      <x:c r="S127" s="32" t="str"/>
      <x:c r="T127" s="32" t="str"/>
      <x:c r="U127" s="32" t="str"/>
    </x:row>
  </x:sheetData>
  <x:mergeCells>
    <x:mergeCell ref="A1:U1"/>
    <x:mergeCell ref="A2:U2"/>
  </x:mergeCells>
  <x:conditionalFormatting sqref="Q5:Q127">
    <x:cfRule type="containsText" dxfId="10" priority="1" operator="containsText" text="confirmed"/>
    <x:cfRule type="containsText" dxfId="11" priority="2" operator="containsText" text="conflict"/>
    <x:cfRule type="containsText" dxfId="12" priority="3" operator="containsText" text="needs"/>
    <x:cfRule type="containsText" dxfId="13" priority="4" operator="containsText" text="mismatch"/>
  </x:conditionalFormatting>
  <x:conditionalFormatting sqref="S5:S127">
    <x:cfRule type="containsBlanks" dxfId="14" priority="5"/>
  </x:conditionalFormatting>
  <x:dataValidations count="1">
    <x:dataValidation type="list" sqref="S5:S127">
      <x:formula1>"use_existing_project,create_new_project,keep_live_team,apply_excel_team,merge_team_manually,keep_external,skip"</x:formula1>
    </x:dataValidation>
  </x:dataValidations>
  <x:pageMargins left="0.7" right="0.7" top="0.75" bottom="0.75" header="0.3" footer="0.3"/>
  <x:tableParts count="1">
    <x:tablePart xmlns:r="http://schemas.openxmlformats.org/officeDocument/2006/relationships" r:id="R4fa37dc544db424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7" hidden="0" customWidth="1"/>
    <x:col min="2" max="2" width="30" hidden="0" customWidth="1"/>
    <x:col min="3" max="3" width="22" hidden="0" customWidth="1"/>
    <x:col min="4" max="4" width="9" hidden="0" customWidth="1"/>
    <x:col min="5" max="5" width="20" hidden="0" customWidth="1"/>
    <x:col min="6" max="6" width="34" hidden="0" customWidth="1"/>
    <x:col min="7" max="7" width="14" hidden="0" customWidth="1"/>
    <x:col min="8" max="8" width="14" hidden="0" customWidth="1"/>
    <x:col min="9" max="9" width="50" hidden="0" customWidth="1"/>
    <x:col min="10" max="10" width="34" hidden="0" customWidth="1"/>
    <x:col min="11" max="11" width="12" hidden="0" customWidth="1"/>
    <x:col min="12" max="12" width="12" hidden="0" customWidth="1"/>
    <x:col min="13" max="13" width="12" hidden="0" customWidth="1"/>
    <x:col min="14" max="14" width="14" hidden="0" customWidth="1"/>
    <x:col min="15" max="15" width="12" hidden="0" customWidth="1"/>
    <x:col min="16" max="16" width="22" hidden="0" customWidth="1"/>
    <x:col min="17" max="17" width="28" hidden="0" customWidth="1"/>
    <x:col min="18" max="18" width="24" hidden="0" customWidth="1"/>
    <x:col min="19" max="19" width="32" hidden="0" customWidth="1"/>
    <x:col min="20" max="20" width="36" hidden="0" customWidth="1"/>
  </x:cols>
  <x:sheetData>
    <x:row r="1" ht="30" customHeight="1">
      <x:c r="A1" s="3" t="str">
        <x:v>Реестр Кенжекулова — source-specific evidence</x:v>
      </x:c>
      <x:c r="B1" s="3"/>
      <x:c r="C1" s="3"/>
      <x:c r="D1" s="3"/>
      <x:c r="E1" s="3"/>
      <x:c r="F1" s="3"/>
      <x:c r="G1" s="3"/>
      <x:c r="H1" s="3"/>
      <x:c r="I1" s="3"/>
      <x:c r="J1" s="3"/>
      <x:c r="K1" s="3"/>
      <x:c r="L1" s="3"/>
      <x:c r="M1" s="3"/>
      <x:c r="N1" s="3"/>
      <x:c r="O1" s="3"/>
      <x:c r="P1" s="3"/>
      <x:c r="Q1" s="3"/>
      <x:c r="R1" s="3"/>
      <x:c r="S1" s="3"/>
      <x:c r="T1" s="3"/>
    </x:row>
    <x:row r="2" ht="30" customHeight="1">
      <x:c r="A2" s="7" t="str">
        <x:v>Общий partner-ledger marker не считается доказательством. Подтверждение требует совпадения проекта и партнёра.</x:v>
      </x:c>
      <x:c r="B2" s="7"/>
      <x:c r="C2" s="7"/>
      <x:c r="D2" s="7"/>
      <x:c r="E2" s="7"/>
      <x:c r="F2" s="7"/>
      <x:c r="G2" s="7"/>
      <x:c r="H2" s="7"/>
      <x:c r="I2" s="7"/>
      <x:c r="J2" s="7"/>
      <x:c r="K2" s="7"/>
      <x:c r="L2" s="7"/>
      <x:c r="M2" s="7"/>
      <x:c r="N2" s="7"/>
      <x:c r="O2" s="7"/>
      <x:c r="P2" s="7"/>
      <x:c r="Q2" s="7"/>
      <x:c r="R2" s="7"/>
      <x:c r="S2" s="7"/>
      <x:c r="T2" s="7"/>
    </x:row>
    <x:row r="4" ht="34" customHeight="1">
      <x:c r="A4" s="17" t="str">
        <x:v>No</x:v>
      </x:c>
      <x:c r="B4" s="18" t="str">
        <x:v>Client</x:v>
      </x:c>
      <x:c r="C4" s="18" t="str">
        <x:v>Audit Type</x:v>
      </x:c>
      <x:c r="D4" s="18" t="str">
        <x:v>Year</x:v>
      </x:c>
      <x:c r="E4" s="18" t="str">
        <x:v>Period</x:v>
      </x:c>
      <x:c r="F4" s="18" t="str">
        <x:v>Historical Match</x:v>
      </x:c>
      <x:c r="G4" s="18" t="str">
        <x:v>Historical Confidence</x:v>
      </x:c>
      <x:c r="H4" s="18" t="str">
        <x:v>Current Match</x:v>
      </x:c>
      <x:c r="I4" s="18" t="str">
        <x:v>Current Candidates</x:v>
      </x:c>
      <x:c r="J4" s="18" t="str">
        <x:v>Evidence Project</x:v>
      </x:c>
      <x:c r="K4" s="18" t="str">
        <x:v>Partner Match</x:v>
      </x:c>
      <x:c r="L4" s="18" t="str">
        <x:v>Shared Marker</x:v>
      </x:c>
      <x:c r="M4" s="18" t="str">
        <x:v>Approved Rows</x:v>
      </x:c>
      <x:c r="N4" s="18" t="str">
        <x:v>Approved Hours</x:v>
      </x:c>
      <x:c r="O4" s="18" t="str">
        <x:v>Known Unmatched</x:v>
      </x:c>
      <x:c r="P4" s="18" t="str">
        <x:v>Status</x:v>
      </x:c>
      <x:c r="Q4" s="18" t="str">
        <x:v>Recommendation</x:v>
      </x:c>
      <x:c r="R4" s="18" t="str">
        <x:v>Decision</x:v>
      </x:c>
      <x:c r="S4" s="18" t="str">
        <x:v>Approved Project ID</x:v>
      </x:c>
      <x:c r="T4" s="19" t="str">
        <x:v>Review Comment</x:v>
      </x:c>
    </x:row>
    <x:row r="5" ht="42" customHeight="1">
      <x:c r="A5" s="30" t="str">
        <x:v>1</x:v>
      </x:c>
      <x:c r="B5" s="30" t="str">
        <x:v>ТОО «Oil Construction Company»</x:v>
      </x:c>
      <x:c r="C5" s="30" t="str">
        <x:v>Аудит ФО 2024</x:v>
      </x:c>
      <x:c r="D5" s="30" t="n">
        <x:v>2024</x:v>
      </x:c>
      <x:c r="E5" s="30" t="str">
        <x:v>октября 2024г. - февраль 2025г.</x:v>
      </x:c>
      <x:c r="F5" s="30" t="str">
        <x:v>ТОО «Oil Construction Company» (за период 2022-2024)</x:v>
      </x:c>
      <x:c r="G5" s="30" t="str">
        <x:v>medium</x:v>
      </x:c>
      <x:c r="H5" s="30" t="str">
        <x:v>conflict</x:v>
      </x:c>
      <x:c r="I5" s="30" t="str">
        <x:v>1. ТОО «Oil Construction Company» (за период 2022-2024) [170] (ca8526ed-4e82-4566-bf08-ced1855f8166)
2. ТОО «Oil Construction Company» (за период 2022-2024) [170] (942e5751-7666-4d58-a696-17f2c63f4b1d)
3. ТОО «Oil Construction Company» (за период 2025-2027) [170] (0629f630-5092-4e09-8b63-84ea343c288f)
4. ТОО «Oil Construction Company» (за период 2025-2027) [170] (9c7b15cc-50c0-469a-8d68-63d21ba942bd)
5. ТОО «Oil Construction Company» (за период 2025-2027) [170] (6a0c7388-724d-445c-a66b-35d6dd3927e1)</x:v>
      </x:c>
      <x:c r="J5" s="30" t="str">
        <x:v>ТОО «Oil Construction Company» (за период 2022-2024)</x:v>
      </x:c>
      <x:c r="K5" s="31" t="b">
        <x:v>1</x:v>
      </x:c>
      <x:c r="L5" s="31" t="b">
        <x:v>1</x:v>
      </x:c>
      <x:c r="M5" s="30" t="n">
        <x:v>0</x:v>
      </x:c>
      <x:c r="N5" s="30" t="n">
        <x:v>0</x:v>
      </x:c>
      <x:c r="O5" s="31" t="b">
        <x:v>0</x:v>
      </x:c>
      <x:c r="P5" s="30" t="str">
        <x:v>confirmed_applied</x:v>
      </x:c>
      <x:c r="Q5" s="30" t="str">
        <x:v>confirmed_no_action</x:v>
      </x:c>
      <x:c r="R5" s="30" t="str"/>
      <x:c r="S5" s="30" t="str"/>
      <x:c r="T5" s="30" t="str"/>
    </x:row>
    <x:row r="6" ht="42" customHeight="1">
      <x:c r="A6" s="32" t="str">
        <x:v>2</x:v>
      </x:c>
      <x:c r="B6" s="32" t="str">
        <x:v>Oil Service Company</x:v>
      </x:c>
      <x:c r="C6" s="32" t="str">
        <x:v>Аудит ФО 2024</x:v>
      </x:c>
      <x:c r="D6" s="32" t="n">
        <x:v>2024</x:v>
      </x:c>
      <x:c r="E6" s="32" t="str">
        <x:v>октября 2024г. - февраль 2025г.</x:v>
      </x:c>
      <x:c r="F6" s="32" t="str"/>
      <x:c r="G6" s="32" t="str">
        <x:v>unmatched</x:v>
      </x:c>
      <x:c r="H6" s="32" t="str">
        <x:v>probable</x:v>
      </x:c>
      <x:c r="I6" s="32" t="str">
        <x:v>1. Amicorp Fund Services (AIFC) Limited  - услуг по проведению аудита финансовой отчетности Amicorp Fund Services (AIFC) Limited, за 2025 год, в соответствии с МСФО и МСА. [84] (ae1a1c49-10a7-4046-860d-357f95c9a2e6)
2. ТОО «Oil Construction Company» (за период 2022-2024) [60] (ca8526ed-4e82-4566-bf08-ced1855f8166)
3. ТОО «Oil Construction Company» (за период 2022-2024) [60] (942e5751-7666-4d58-a696-17f2c63f4b1d)
4. ТОО «Oil Construction Company» (за период 2025-2027) [60] (0629f630-5092-4e09-8b63-84ea343c288f)
5. ТОО «Oil Construction Company» (за период 2025-2027) [60] (9c7b15cc-50c0-469a-8d68-63d21ba942bd)</x:v>
      </x:c>
      <x:c r="J6" s="32" t="str">
        <x:v>Amicorp Fund Services (AIFC) Limited  - услуг по проведению аудита финансовой отчетности Amicorp Fund Services (AIFC) Limited, за 2025 год, в соответствии с МСФО и МСА.</x:v>
      </x:c>
      <x:c r="K6" s="33" t="b">
        <x:v>0</x:v>
      </x:c>
      <x:c r="L6" s="33" t="b">
        <x:v>0</x:v>
      </x:c>
      <x:c r="M6" s="32" t="n">
        <x:v>0</x:v>
      </x:c>
      <x:c r="N6" s="32" t="n">
        <x:v>0</x:v>
      </x:c>
      <x:c r="O6" s="33" t="b">
        <x:v>0</x:v>
      </x:c>
      <x:c r="P6" s="32" t="str">
        <x:v>insufficient_evidence</x:v>
      </x:c>
      <x:c r="Q6" s="32" t="str">
        <x:v>verify_source_specific_evidence</x:v>
      </x:c>
      <x:c r="R6" s="32" t="str"/>
      <x:c r="S6" s="32" t="str"/>
      <x:c r="T6" s="32" t="str"/>
    </x:row>
    <x:row r="7" ht="42" customHeight="1">
      <x:c r="A7" s="32" t="str">
        <x:v>3</x:v>
      </x:c>
      <x:c r="B7" s="32" t="str">
        <x:v>Oil Service Company</x:v>
      </x:c>
      <x:c r="C7" s="32" t="str">
        <x:v>Аудит ПФО 6м2025</x:v>
      </x:c>
      <x:c r="D7" s="32" t="n">
        <x:v>2025</x:v>
      </x:c>
      <x:c r="E7" s="32" t="str">
        <x:v>июль 2025г.</x:v>
      </x:c>
      <x:c r="F7" s="32" t="str"/>
      <x:c r="G7" s="32" t="str">
        <x:v>unmatched</x:v>
      </x:c>
      <x:c r="H7" s="32" t="str">
        <x:v>probable</x:v>
      </x:c>
      <x:c r="I7" s="32" t="str">
        <x:v>1. Amicorp Fund Services (AIFC) Limited  - услуг по проведению аудита финансовой отчетности Amicorp Fund Services (AIFC) Limited, за 2025 год, в соответствии с МСФО и МСА. [84] (ae1a1c49-10a7-4046-860d-357f95c9a2e6)
2. ТОО «Oil Construction Company» (за период 2025-2027) [60] (0629f630-5092-4e09-8b63-84ea343c288f)
3. ТОО «Oil Construction Company» (за период 2025-2027) [60] (9c7b15cc-50c0-469a-8d68-63d21ba942bd)
4. ТОО «Oil Construction Company» (за период 2025-2027) [60] (6a0c7388-724d-445c-a66b-35d6dd3927e1)
5. ТОО «Oil Construction Company» (за период 2025-2027) [60] (0ff73995-042e-4a65-902b-cc866c4d638e)</x:v>
      </x:c>
      <x:c r="J7" s="32" t="str">
        <x:v>Amicorp Fund Services (AIFC) Limited  - услуг по проведению аудита финансовой отчетности Amicorp Fund Services (AIFC) Limited, за 2025 год, в соответствии с МСФО и МСА.</x:v>
      </x:c>
      <x:c r="K7" s="33" t="b">
        <x:v>0</x:v>
      </x:c>
      <x:c r="L7" s="33" t="b">
        <x:v>0</x:v>
      </x:c>
      <x:c r="M7" s="32" t="n">
        <x:v>0</x:v>
      </x:c>
      <x:c r="N7" s="32" t="n">
        <x:v>0</x:v>
      </x:c>
      <x:c r="O7" s="33" t="b">
        <x:v>0</x:v>
      </x:c>
      <x:c r="P7" s="32" t="str">
        <x:v>insufficient_evidence</x:v>
      </x:c>
      <x:c r="Q7" s="32" t="str">
        <x:v>verify_source_specific_evidence</x:v>
      </x:c>
      <x:c r="R7" s="32" t="str"/>
      <x:c r="S7" s="32" t="str"/>
      <x:c r="T7" s="32" t="str"/>
    </x:row>
    <x:row r="8" ht="42" customHeight="1">
      <x:c r="A8" s="32" t="str">
        <x:v>4</x:v>
      </x:c>
      <x:c r="B8" s="32" t="str">
        <x:v>КМГ-Аэро</x:v>
      </x:c>
      <x:c r="C8" s="32" t="str">
        <x:v>Аудит ФО 2024</x:v>
      </x:c>
      <x:c r="D8" s="32" t="n">
        <x:v>2024</x:v>
      </x:c>
      <x:c r="E8" s="32" t="str">
        <x:v>ноября 2024г. - февраль 2025г.</x:v>
      </x:c>
      <x:c r="F8" s="32" t="str"/>
      <x:c r="G8" s="32" t="str">
        <x:v>unmatched</x:v>
      </x:c>
      <x:c r="H8" s="32" t="str">
        <x:v>probable</x:v>
      </x:c>
      <x:c r="I8" s="32" t="str">
        <x:v>1. Аудит ФО за 2025 год РГП на ПХВ "Казаэронавигация" [84] (bfe7b659-6cb6-45a7-aa58-0b49860defab)
2. Филиал ЧКОО «КМГ Кашаган Б.В.» - услуг по проведению согласованных процедура  реестра выставленных Заказчиком для возмещения NCOC N.V. счетов за 2025 год по прикомандированным работникам и по расходам на технические услуги, оказываемые Заказчиком, в том числе аффилиированными лицами ЧКОО «КМГ Кашаган Б.В.» в рамках соответствующих соглашений по Северо-Каспийскому проекту и предоставлением подтверждения по форме и требованиям, соответствующим требованиям документов по Северо-Каспийскому проекту; [72] (12718441-62a3-4f2c-9f1a-4a2c97d3944f)
3. ТОО «КМГ-Кумколь» (за 2025-2029 годы) [60] (b6552ff6-6d5b-4c73-9953-e86b34a51f71)
4. ТОО «КМГ-Кумколь» (за 2025-2029 годы) [60] (7b822004-7255-4f31-abbb-15b4cd7b64b6)
5. ТОО «КМГ-Кумколь» (за 2025-2029 годы) [60] (b391c589-76f8-4607-bc01-634c3267d79b)</x:v>
      </x:c>
      <x:c r="J8" s="32" t="str">
        <x:v>Аудит ФО за 2025 год РГП на ПХВ "Казаэронавигация"</x:v>
      </x:c>
      <x:c r="K8" s="33" t="b">
        <x:v>0</x:v>
      </x:c>
      <x:c r="L8" s="33" t="b">
        <x:v>0</x:v>
      </x:c>
      <x:c r="M8" s="32" t="n">
        <x:v>0</x:v>
      </x:c>
      <x:c r="N8" s="32" t="n">
        <x:v>0</x:v>
      </x:c>
      <x:c r="O8" s="33" t="b">
        <x:v>0</x:v>
      </x:c>
      <x:c r="P8" s="32" t="str">
        <x:v>insufficient_evidence</x:v>
      </x:c>
      <x:c r="Q8" s="32" t="str">
        <x:v>verify_source_specific_evidence</x:v>
      </x:c>
      <x:c r="R8" s="32" t="str"/>
      <x:c r="S8" s="32" t="str"/>
      <x:c r="T8" s="32" t="str"/>
    </x:row>
    <x:row r="9" ht="42" customHeight="1">
      <x:c r="A9" s="32" t="str">
        <x:v>5</x:v>
      </x:c>
      <x:c r="B9" s="32" t="str">
        <x:v>ТОО Озенмунайсервис</x:v>
      </x:c>
      <x:c r="C9" s="32" t="str">
        <x:v>Аудит ФО 2024</x:v>
      </x:c>
      <x:c r="D9" s="32" t="n">
        <x:v>2024</x:v>
      </x:c>
      <x:c r="E9" s="32" t="str">
        <x:v>октября 2024г. - февраль 2025г.</x:v>
      </x:c>
      <x:c r="F9" s="32" t="str">
        <x:v>ТОО Озенмунайсервис (за период 2023-2025)</x:v>
      </x:c>
      <x:c r="G9" s="32" t="str">
        <x:v>low</x:v>
      </x:c>
      <x:c r="H9" s="32" t="str">
        <x:v>conflict</x:v>
      </x:c>
      <x:c r="I9" s="32" t="str">
        <x:v>1. ТОО Озенмунайсервис (за период 2023-2025) [170] (c011cdcf-144b-4839-be2a-a86a63cc2ab2)
2. ТОО Озенмунайсервис (за период 2023-2025) [170] (27758e4e-e71d-456b-a2f4-b245c062b5c9)
3. ТОО Озенмунайсервис (за период 2023-2025) [170] (624b27eb-d589-4ef2-860c-9c22bd4e9610)
4. ТОО Озенмунайсервис (за период 2023-2025) [170] (f9219841-5532-44a6-96e6-bbfb24de900d)</x:v>
      </x:c>
      <x:c r="J9" s="32" t="str">
        <x:v>ТОО Озенмунайсервис (за период 2023-2025)</x:v>
      </x:c>
      <x:c r="K9" s="33" t="b">
        <x:v>1</x:v>
      </x:c>
      <x:c r="L9" s="33" t="b">
        <x:v>1</x:v>
      </x:c>
      <x:c r="M9" s="32" t="n">
        <x:v>0</x:v>
      </x:c>
      <x:c r="N9" s="32" t="n">
        <x:v>0</x:v>
      </x:c>
      <x:c r="O9" s="33" t="b">
        <x:v>0</x:v>
      </x:c>
      <x:c r="P9" s="32" t="str">
        <x:v>confirmed_applied</x:v>
      </x:c>
      <x:c r="Q9" s="32" t="str">
        <x:v>confirmed_no_action</x:v>
      </x:c>
      <x:c r="R9" s="32" t="str"/>
      <x:c r="S9" s="32" t="str"/>
      <x:c r="T9" s="32" t="str"/>
    </x:row>
    <x:row r="10" ht="42" customHeight="1">
      <x:c r="A10" s="32" t="str">
        <x:v>6</x:v>
      </x:c>
      <x:c r="B10" s="32" t="str">
        <x:v>ТОО Кен-Курылыс-Сервис</x:v>
      </x:c>
      <x:c r="C10" s="32" t="str">
        <x:v>Аудит ФО 2024</x:v>
      </x:c>
      <x:c r="D10" s="32" t="n">
        <x:v>2024</x:v>
      </x:c>
      <x:c r="E10" s="32" t="str">
        <x:v>октября 2024г. - февраль 2025г.</x:v>
      </x:c>
      <x:c r="F10" s="32" t="str">
        <x:v>ТОО Кен-Курылыс-Сервис (за период 2022-2024)</x:v>
      </x:c>
      <x:c r="G10" s="32" t="str">
        <x:v>medium</x:v>
      </x:c>
      <x:c r="H10" s="32" t="str">
        <x:v>exact</x:v>
      </x:c>
      <x:c r="I10" s="32" t="str">
        <x:v>1. ТОО Кен-Курылыс-Сервис (за период 2022-2024) [170] (c32b354d-34c1-47bf-b6ea-f6049e5c9c69)
2. АО Шымкентмай - услуг по проведению аудита финансовой отчетности АО «Шымкент Май» за период с 1 января 2025 года по 31 декабря 2025 года, подготовленной в соответствии с Международными Стандартами Финансовой Отчетности  [31] (19a1559b-f468-48a5-afc5-61c502f22cba)
3. ТОО «Тау-Кен Алтын» - Аудита финансовой отчетности ТОО «Тау-Кен Алтын» по состоянию за год, заканчивающийся 31 декабря 2025 года [31] (ab5c616a-c033-4127-9e1a-6266bc1c7cde)
4. АО «Национальная горнорудная компания «Тау-Кен Самрук» (аудит за 2025-2029гг) [19] (bba4e3dd-d508-418f-9c48-23ce65dbc4f9)
5. АО «Национальная горнорудная компания «Тау-Кен Самрук» (аудит за 2025-2029гг) [19] (2eb886af-107b-45b1-be4d-7fad12337505)</x:v>
      </x:c>
      <x:c r="J10" s="32" t="str">
        <x:v>ТОО Кен-Курылыс-Сервис (за период 2022-2024)</x:v>
      </x:c>
      <x:c r="K10" s="33" t="b">
        <x:v>1</x:v>
      </x:c>
      <x:c r="L10" s="33" t="b">
        <x:v>1</x:v>
      </x:c>
      <x:c r="M10" s="32" t="n">
        <x:v>111</x:v>
      </x:c>
      <x:c r="N10" s="32" t="n">
        <x:v>586.8</x:v>
      </x:c>
      <x:c r="O10" s="33" t="b">
        <x:v>0</x:v>
      </x:c>
      <x:c r="P10" s="32" t="str">
        <x:v>confirmed_applied</x:v>
      </x:c>
      <x:c r="Q10" s="32" t="str">
        <x:v>confirmed_no_action</x:v>
      </x:c>
      <x:c r="R10" s="32" t="str"/>
      <x:c r="S10" s="32" t="str"/>
      <x:c r="T10" s="32" t="str"/>
    </x:row>
    <x:row r="11" ht="42" customHeight="1">
      <x:c r="A11" s="32" t="str">
        <x:v>7</x:v>
      </x:c>
      <x:c r="B11" s="32" t="str">
        <x:v>SkyBridge Invest</x:v>
      </x:c>
      <x:c r="C11" s="32" t="str">
        <x:v>Аудит ПФО 6м2024</x:v>
      </x:c>
      <x:c r="D11" s="32" t="n">
        <x:v>2024</x:v>
      </x:c>
      <x:c r="E11" s="32" t="str">
        <x:v>июля 2024г. - август 2024г.</x:v>
      </x:c>
      <x:c r="F11" s="32" t="str">
        <x:v>АО SkyBridge Invest</x:v>
      </x:c>
      <x:c r="G11" s="32" t="str">
        <x:v>low</x:v>
      </x:c>
      <x:c r="H11" s="32" t="str">
        <x:v>conflict</x:v>
      </x:c>
      <x:c r="I11" s="32" t="str">
        <x:v>1. АО SkyBridge Invest [135] (5d2f64af-299c-4ead-b644-c1bde16219e9)
2. АО SkyBridge Invest [135] (db26bee4-0da7-45c1-981a-64a020b55f67)
3. «Kazakhstan Investment Development Fund (KIDF) Management Company» Ltd. [25] (421319ad-2ba0-4cdc-92af-f94aa4b15c6d)
4. «Kazakhstan Investment Development Fund (KIDF) Management Company» Ltd. [25] (7c2d2e93-8beb-46d1-a67f-447d21c07415)
5. АО "QAZAQSTAN INVESTMENT CORPORATION" [25] (58a521b0-a213-43a1-94c1-59e8a3b24d04)</x:v>
      </x:c>
      <x:c r="J11" s="32" t="str">
        <x:v>АО SkyBridge Invest</x:v>
      </x:c>
      <x:c r="K11" s="33" t="b">
        <x:v>1</x:v>
      </x:c>
      <x:c r="L11" s="33" t="b">
        <x:v>1</x:v>
      </x:c>
      <x:c r="M11" s="32" t="n">
        <x:v>2</x:v>
      </x:c>
      <x:c r="N11" s="32" t="n">
        <x:v>16</x:v>
      </x:c>
      <x:c r="O11" s="33" t="b">
        <x:v>0</x:v>
      </x:c>
      <x:c r="P11" s="32" t="str">
        <x:v>confirmed_applied</x:v>
      </x:c>
      <x:c r="Q11" s="32" t="str">
        <x:v>confirmed_no_action</x:v>
      </x:c>
      <x:c r="R11" s="32" t="str"/>
      <x:c r="S11" s="32" t="str"/>
      <x:c r="T11" s="32" t="str"/>
    </x:row>
    <x:row r="12" ht="42" customHeight="1">
      <x:c r="A12" s="32" t="str">
        <x:v>8</x:v>
      </x:c>
      <x:c r="B12" s="32" t="str">
        <x:v>SkyBridge Digital Finance Ltd</x:v>
      </x:c>
      <x:c r="C12" s="32" t="str">
        <x:v>Аудит ПФО 6м2024</x:v>
      </x:c>
      <x:c r="D12" s="32" t="n">
        <x:v>2024</x:v>
      </x:c>
      <x:c r="E12" s="32" t="str">
        <x:v>июля 2024г. - август 2024г.</x:v>
      </x:c>
      <x:c r="F12" s="32" t="str">
        <x:v>Частная компания «SkyBridge Digital Finance Ltd.»</x:v>
      </x:c>
      <x:c r="G12" s="32" t="str">
        <x:v>low</x:v>
      </x:c>
      <x:c r="H12" s="32" t="str">
        <x:v>conflict</x:v>
      </x:c>
      <x:c r="I12" s="32" t="str">
        <x:v>1. Частная компания «SkyBridge Digital Finance Ltd.» [135] (f407e814-994f-42a7-a8a7-ac8362310ee3)
2. Частная компания «SkyBridge Digital Finance Ltd.» [135] (cc98690b-3c17-4fb7-8392-ee54f117ce12)
3. Частная компания «SkyBridge Digital Finance Ltd.» [135] (aaa05862-77e3-45b9-9b82-f5daa73eb22a)
4. Частная компания «SkyBridge Digital Finance Ltd.» [135] (4ea5913a-bad3-44f7-81f1-0a5ba324cd99)</x:v>
      </x:c>
      <x:c r="J12" s="32" t="str">
        <x:v>Частная компания «SkyBridge Digital Finance Ltd.»</x:v>
      </x:c>
      <x:c r="K12" s="33" t="b">
        <x:v>0</x:v>
      </x:c>
      <x:c r="L12" s="33" t="b">
        <x:v>0</x:v>
      </x:c>
      <x:c r="M12" s="32" t="n">
        <x:v>0</x:v>
      </x:c>
      <x:c r="N12" s="32" t="n">
        <x:v>0</x:v>
      </x:c>
      <x:c r="O12" s="33" t="b">
        <x:v>0</x:v>
      </x:c>
      <x:c r="P12" s="32" t="str">
        <x:v>insufficient_evidence</x:v>
      </x:c>
      <x:c r="Q12" s="32" t="str">
        <x:v>verify_source_specific_evidence</x:v>
      </x:c>
      <x:c r="R12" s="32" t="str"/>
      <x:c r="S12" s="32" t="str"/>
      <x:c r="T12" s="32" t="str"/>
    </x:row>
    <x:row r="13" ht="42" customHeight="1">
      <x:c r="A13" s="32" t="str">
        <x:v>9</x:v>
      </x:c>
      <x:c r="B13" s="32" t="str">
        <x:v>IQ Solutions</x:v>
      </x:c>
      <x:c r="C13" s="32" t="str">
        <x:v>Аудит ПФО 6м2024</x:v>
      </x:c>
      <x:c r="D13" s="32" t="n">
        <x:v>2024</x:v>
      </x:c>
      <x:c r="E13" s="32" t="str">
        <x:v>июля 2024г. - август 2024г.</x:v>
      </x:c>
      <x:c r="F13" s="32" t="str">
        <x:v>ТОО «iQ-Solutions»</x:v>
      </x:c>
      <x:c r="G13" s="32" t="str">
        <x:v>low</x:v>
      </x:c>
      <x:c r="H13" s="32" t="str">
        <x:v>exact</x:v>
      </x:c>
      <x:c r="I13" s="32" t="str">
        <x:v>1. ТОО «iQ-Solutions» [135] (be364640-1303-4487-a3a9-a00078e30d6a)
2. ТОО «SB-Solutions» [25] (55fbe3a6-eea5-433d-9e1f-09acb94d40ff)
3. ТОО «SB-Solutions» [25] (19794b0f-01e3-43fd-8fec-001f89f1120d)
4. ТОО «SB-Solutions» [25] (a69c1838-1698-4d98-8644-032d764c75ee)
5. ТОО «Sigma solutions» [25] (b49bc81a-9096-4710-8afa-574a892de687)</x:v>
      </x:c>
      <x:c r="J13" s="32" t="str">
        <x:v>ТОО «iQ-Solutions»</x:v>
      </x:c>
      <x:c r="K13" s="33" t="b">
        <x:v>1</x:v>
      </x:c>
      <x:c r="L13" s="33" t="b">
        <x:v>1</x:v>
      </x:c>
      <x:c r="M13" s="32" t="n">
        <x:v>0</x:v>
      </x:c>
      <x:c r="N13" s="32" t="n">
        <x:v>0</x:v>
      </x:c>
      <x:c r="O13" s="33" t="b">
        <x:v>0</x:v>
      </x:c>
      <x:c r="P13" s="32" t="str">
        <x:v>confirmed_applied</x:v>
      </x:c>
      <x:c r="Q13" s="32" t="str">
        <x:v>confirmed_no_action</x:v>
      </x:c>
      <x:c r="R13" s="32" t="str"/>
      <x:c r="S13" s="32" t="str"/>
      <x:c r="T13" s="32" t="str"/>
    </x:row>
    <x:row r="14" ht="42" customHeight="1">
      <x:c r="A14" s="32" t="str">
        <x:v>10</x:v>
      </x:c>
      <x:c r="B14" s="32" t="str">
        <x:v>SB Solutions</x:v>
      </x:c>
      <x:c r="C14" s="32" t="str">
        <x:v>Аудит ПФО 6м2024</x:v>
      </x:c>
      <x:c r="D14" s="32" t="n">
        <x:v>2024</x:v>
      </x:c>
      <x:c r="E14" s="32" t="str">
        <x:v>июля 2024г. - август 2024г.</x:v>
      </x:c>
      <x:c r="F14" s="32" t="str">
        <x:v>ТОО «SB-Solutions»</x:v>
      </x:c>
      <x:c r="G14" s="32" t="str">
        <x:v>low</x:v>
      </x:c>
      <x:c r="H14" s="32" t="str">
        <x:v>conflict</x:v>
      </x:c>
      <x:c r="I14" s="32" t="str">
        <x:v>1. ТОО «SB-Solutions» [135] (55fbe3a6-eea5-433d-9e1f-09acb94d40ff)
2. ТОО «SB-Solutions» [135] (19794b0f-01e3-43fd-8fec-001f89f1120d)
3. ТОО «SB-Solutions» [135] (a69c1838-1698-4d98-8644-032d764c75ee)
4. Публичная Компания Открытого Инвестиционного Типа SBI ACTIVE FUND [25] (f3ce75e4-8217-4741-9ceb-267228437338)
5. Публичная Компания Открытого Инвестиционного Типа SBI ACTIVE FUND [25] (cc80a655-e710-49cf-beef-9161398ce3c0)</x:v>
      </x:c>
      <x:c r="J14" s="32" t="str">
        <x:v>ТОО «SB-Solutions»</x:v>
      </x:c>
      <x:c r="K14" s="33" t="b">
        <x:v>1</x:v>
      </x:c>
      <x:c r="L14" s="33" t="b">
        <x:v>0</x:v>
      </x:c>
      <x:c r="M14" s="32" t="n">
        <x:v>0</x:v>
      </x:c>
      <x:c r="N14" s="32" t="n">
        <x:v>0</x:v>
      </x:c>
      <x:c r="O14" s="33" t="b">
        <x:v>0</x:v>
      </x:c>
      <x:c r="P14" s="32" t="str">
        <x:v>confirmed_applied</x:v>
      </x:c>
      <x:c r="Q14" s="32" t="str">
        <x:v>confirmed_no_action</x:v>
      </x:c>
      <x:c r="R14" s="32" t="str"/>
      <x:c r="S14" s="32" t="str"/>
      <x:c r="T14" s="32" t="str"/>
    </x:row>
    <x:row r="15" ht="42" customHeight="1">
      <x:c r="A15" s="32" t="str">
        <x:v>11</x:v>
      </x:c>
      <x:c r="B15" s="32" t="str">
        <x:v>SkyBridge Invest</x:v>
      </x:c>
      <x:c r="C15" s="32" t="str">
        <x:v>Аудит ФО 2024</x:v>
      </x:c>
      <x:c r="D15" s="32" t="n">
        <x:v>2024</x:v>
      </x:c>
      <x:c r="E15" s="32" t="str">
        <x:v>февраля 2025г. - март 2025г.</x:v>
      </x:c>
      <x:c r="F15" s="32" t="str">
        <x:v>АО SkyBridge Invest</x:v>
      </x:c>
      <x:c r="G15" s="32" t="str">
        <x:v>low</x:v>
      </x:c>
      <x:c r="H15" s="32" t="str">
        <x:v>conflict</x:v>
      </x:c>
      <x:c r="I15" s="32" t="str">
        <x:v>1. АО SkyBridge Invest [135] (5d2f64af-299c-4ead-b644-c1bde16219e9)
2. АО SkyBridge Invest [135] (db26bee4-0da7-45c1-981a-64a020b55f67)
3. Частная комапания «Kazakhstan Investment Development Fund (KIDF) Management Company»  - Аудит финансовой отчетности (далее – финансовая отчетность) «Direct Investment Fund «Kazakhstan Investment Development Fund (КIDF)» Ltd. (далее – KIDF), подготовленной в соответствии с Международными Стандартами Финансовой Отчетности (далее - МСФО) по состоянию на и за год, завершившийся 31 декабря 2025 года: [84] (63a9c971-6408-41ea-ac6c-63991b4651de)
4. Частная Компания «Kazakhstan Investment Development Fund (KIDF) Management Company» Ltd. - услуги по проведению аудита финансовой отчетности (далее – финансовая отчетность) Частной компании «Kazakhstan Investment Development Fund (KIDF) Management Company» Ltd. (далее – KIDF), подготовленной в соответствии с Международными Стандартами Финансовой Отчетности (далее - МСФО) по состоянию на и за год, завершившийся 31 декабря 2025 года [84] (8a0341c5-d915-4e7d-a535-df88c5ff8c30)
5. Частная компания открытого инвестиционного типа Real Estate Investment Trust ONE OEIC Ltd - услуг по проведению аудита финансовой отчетности Частной компании открытого инвестиционного типа Real Estate Investment Trust SEVEN OEIC Ltd. за 2025 год, в соответствии с МСФО (далее – услуги) по стандартам МСФО. Валюта презентации финансовой отчетности – в тенге  [84] (02225b0a-3bf8-411d-a271-d6e81b3f8eff)</x:v>
      </x:c>
      <x:c r="J15" s="32" t="str">
        <x:v>АО SkyBridge Invest</x:v>
      </x:c>
      <x:c r="K15" s="33" t="b">
        <x:v>1</x:v>
      </x:c>
      <x:c r="L15" s="33" t="b">
        <x:v>1</x:v>
      </x:c>
      <x:c r="M15" s="32" t="n">
        <x:v>2</x:v>
      </x:c>
      <x:c r="N15" s="32" t="n">
        <x:v>16</x:v>
      </x:c>
      <x:c r="O15" s="33" t="b">
        <x:v>0</x:v>
      </x:c>
      <x:c r="P15" s="32" t="str">
        <x:v>confirmed_applied</x:v>
      </x:c>
      <x:c r="Q15" s="32" t="str">
        <x:v>confirmed_no_action</x:v>
      </x:c>
      <x:c r="R15" s="32" t="str"/>
      <x:c r="S15" s="32" t="str"/>
      <x:c r="T15" s="32" t="str"/>
    </x:row>
    <x:row r="16" ht="42" customHeight="1">
      <x:c r="A16" s="32" t="str">
        <x:v>12</x:v>
      </x:c>
      <x:c r="B16" s="32" t="str">
        <x:v>SkyBridge Digital Finance Ltd</x:v>
      </x:c>
      <x:c r="C16" s="32" t="str">
        <x:v>Аудит ФО 2024</x:v>
      </x:c>
      <x:c r="D16" s="32" t="n">
        <x:v>2024</x:v>
      </x:c>
      <x:c r="E16" s="32" t="str">
        <x:v>февраля 2025г. - март 2025г.</x:v>
      </x:c>
      <x:c r="F16" s="32" t="str">
        <x:v>Частная компания «SkyBridge Digital Finance Ltd.»</x:v>
      </x:c>
      <x:c r="G16" s="32" t="str">
        <x:v>low</x:v>
      </x:c>
      <x:c r="H16" s="32" t="str">
        <x:v>conflict</x:v>
      </x:c>
      <x:c r="I16" s="32" t="str">
        <x:v>1. Частная компания «SkyBridge Digital Finance Ltd.» [135] (f407e814-994f-42a7-a8a7-ac8362310ee3)
2. Частная компания «SkyBridge Digital Finance Ltd.» [135] (cc98690b-3c17-4fb7-8392-ee54f117ce12)
3. Частная компания «SkyBridge Digital Finance Ltd.» [135] (aaa05862-77e3-45b9-9b82-f5daa73eb22a)
4. Частная компания «SkyBridge Digital Finance Ltd.» [135] (4ea5913a-bad3-44f7-81f1-0a5ba324cd99)
5. ТОО Микрофинансовая организация InvesCore Finance - 1.1 Аудит финансовой отчетности ТОО «Микрофинансовая организация МФО InvesCore Finance» за 2025 год, подготовленной в соответствии с Международными стандартами финансовой отчетности, (далее – Услуги);
1.2	Проведение онлайн-встречи с материнской компанией (Комитет по аудиту) и возможной встречи с групповым аудитором для обсуждения аудиторского отчёта, не более 8 (восьми) часов
 [31] (56340057-1683-4513-a067-04fa7f8efe18)</x:v>
      </x:c>
      <x:c r="J16" s="32" t="str">
        <x:v>Частная компания «SkyBridge Digital Finance Ltd.»</x:v>
      </x:c>
      <x:c r="K16" s="33" t="b">
        <x:v>0</x:v>
      </x:c>
      <x:c r="L16" s="33" t="b">
        <x:v>0</x:v>
      </x:c>
      <x:c r="M16" s="32" t="n">
        <x:v>0</x:v>
      </x:c>
      <x:c r="N16" s="32" t="n">
        <x:v>0</x:v>
      </x:c>
      <x:c r="O16" s="33" t="b">
        <x:v>0</x:v>
      </x:c>
      <x:c r="P16" s="32" t="str">
        <x:v>insufficient_evidence</x:v>
      </x:c>
      <x:c r="Q16" s="32" t="str">
        <x:v>verify_source_specific_evidence</x:v>
      </x:c>
      <x:c r="R16" s="32" t="str"/>
      <x:c r="S16" s="32" t="str"/>
      <x:c r="T16" s="32" t="str"/>
    </x:row>
    <x:row r="17" ht="42" customHeight="1">
      <x:c r="A17" s="32" t="str">
        <x:v>13</x:v>
      </x:c>
      <x:c r="B17" s="32" t="str">
        <x:v>IQ Solutions</x:v>
      </x:c>
      <x:c r="C17" s="32" t="str">
        <x:v>Аудит ФО 2024</x:v>
      </x:c>
      <x:c r="D17" s="32" t="n">
        <x:v>2024</x:v>
      </x:c>
      <x:c r="E17" s="32" t="str">
        <x:v>февраля 2025г. - март 2025г.</x:v>
      </x:c>
      <x:c r="F17" s="32" t="str">
        <x:v>ТОО «iQ-Solutions»</x:v>
      </x:c>
      <x:c r="G17" s="32" t="str">
        <x:v>low</x:v>
      </x:c>
      <x:c r="H17" s="32" t="str">
        <x:v>exact</x:v>
      </x:c>
      <x:c r="I17" s="32" t="str">
        <x:v>1. ТОО «iQ-Solutions» [135] (be364640-1303-4487-a3a9-a00078e30d6a)
2. ТОО «SB-Solutions» [25] (55fbe3a6-eea5-433d-9e1f-09acb94d40ff)
3. ТОО «SB-Solutions» [25] (19794b0f-01e3-43fd-8fec-001f89f1120d)
4. ТОО «SB-Solutions» [25] (a69c1838-1698-4d98-8644-032d764c75ee)
5. ТОО «Sigma solutions» [25] (b49bc81a-9096-4710-8afa-574a892de687)</x:v>
      </x:c>
      <x:c r="J17" s="32" t="str">
        <x:v>ТОО «iQ-Solutions»</x:v>
      </x:c>
      <x:c r="K17" s="33" t="b">
        <x:v>1</x:v>
      </x:c>
      <x:c r="L17" s="33" t="b">
        <x:v>1</x:v>
      </x:c>
      <x:c r="M17" s="32" t="n">
        <x:v>0</x:v>
      </x:c>
      <x:c r="N17" s="32" t="n">
        <x:v>0</x:v>
      </x:c>
      <x:c r="O17" s="33" t="b">
        <x:v>0</x:v>
      </x:c>
      <x:c r="P17" s="32" t="str">
        <x:v>confirmed_applied</x:v>
      </x:c>
      <x:c r="Q17" s="32" t="str">
        <x:v>confirmed_no_action</x:v>
      </x:c>
      <x:c r="R17" s="32" t="str"/>
      <x:c r="S17" s="32" t="str"/>
      <x:c r="T17" s="32" t="str"/>
    </x:row>
    <x:row r="18" ht="42" customHeight="1">
      <x:c r="A18" s="32" t="str">
        <x:v>14</x:v>
      </x:c>
      <x:c r="B18" s="32" t="str">
        <x:v>SB Solutions</x:v>
      </x:c>
      <x:c r="C18" s="32" t="str">
        <x:v>Аудит ФО 2024</x:v>
      </x:c>
      <x:c r="D18" s="32" t="n">
        <x:v>2024</x:v>
      </x:c>
      <x:c r="E18" s="32" t="str">
        <x:v>февраля 2025г. - март 2025г.</x:v>
      </x:c>
      <x:c r="F18" s="32" t="str">
        <x:v>ТОО «SB-Solutions»</x:v>
      </x:c>
      <x:c r="G18" s="32" t="str">
        <x:v>low</x:v>
      </x:c>
      <x:c r="H18" s="32" t="str">
        <x:v>conflict</x:v>
      </x:c>
      <x:c r="I18" s="32" t="str">
        <x:v>1. ТОО «SB-Solutions» [135] (55fbe3a6-eea5-433d-9e1f-09acb94d40ff)
2. ТОО «SB-Solutions» [135] (19794b0f-01e3-43fd-8fec-001f89f1120d)
3. ТОО «SB-Solutions» [135] (a69c1838-1698-4d98-8644-032d764c75ee)
4. Публичная Компания Открытого Инвестиционного Типа SBI ACTIVE FUND [25] (f3ce75e4-8217-4741-9ceb-267228437338)
5. Публичная Компания Открытого Инвестиционного Типа SBI ACTIVE FUND [25] (cc80a655-e710-49cf-beef-9161398ce3c0)</x:v>
      </x:c>
      <x:c r="J18" s="32" t="str">
        <x:v>ТОО «SB-Solutions»</x:v>
      </x:c>
      <x:c r="K18" s="33" t="b">
        <x:v>1</x:v>
      </x:c>
      <x:c r="L18" s="33" t="b">
        <x:v>0</x:v>
      </x:c>
      <x:c r="M18" s="32" t="n">
        <x:v>0</x:v>
      </x:c>
      <x:c r="N18" s="32" t="n">
        <x:v>0</x:v>
      </x:c>
      <x:c r="O18" s="33" t="b">
        <x:v>0</x:v>
      </x:c>
      <x:c r="P18" s="32" t="str">
        <x:v>confirmed_applied</x:v>
      </x:c>
      <x:c r="Q18" s="32" t="str">
        <x:v>confirmed_no_action</x:v>
      </x:c>
      <x:c r="R18" s="32" t="str"/>
      <x:c r="S18" s="32" t="str"/>
      <x:c r="T18" s="32" t="str"/>
    </x:row>
    <x:row r="19" ht="42" customHeight="1">
      <x:c r="A19" s="32" t="str">
        <x:v>15</x:v>
      </x:c>
      <x:c r="B19" s="32" t="str">
        <x:v>ТОО KMG-Security</x:v>
      </x:c>
      <x:c r="C19" s="32" t="str">
        <x:v>Аудит ФО 2024</x:v>
      </x:c>
      <x:c r="D19" s="32" t="n">
        <x:v>2024</x:v>
      </x:c>
      <x:c r="E19" s="32" t="str">
        <x:v>ноября 2024г. - февраль 2025г.</x:v>
      </x:c>
      <x:c r="F19" s="32" t="str">
        <x:v>ТОО KMG-Security (за период 2022-2024)</x:v>
      </x:c>
      <x:c r="G19" s="32" t="str">
        <x:v>medium</x:v>
      </x:c>
      <x:c r="H19" s="32" t="str">
        <x:v>exact</x:v>
      </x:c>
      <x:c r="I19" s="32" t="str">
        <x:v>1. ТОО KMG-Security (за период 2022-2024) [170] (afafe527-1044-4b01-9940-749e194a82ed)</x:v>
      </x:c>
      <x:c r="J19" s="32" t="str">
        <x:v>ТОО KMG-Security (за период 2022-2024)</x:v>
      </x:c>
      <x:c r="K19" s="33" t="b">
        <x:v>1</x:v>
      </x:c>
      <x:c r="L19" s="33" t="b">
        <x:v>1</x:v>
      </x:c>
      <x:c r="M19" s="32" t="n">
        <x:v>62</x:v>
      </x:c>
      <x:c r="N19" s="32" t="n">
        <x:v>490</x:v>
      </x:c>
      <x:c r="O19" s="33" t="b">
        <x:v>0</x:v>
      </x:c>
      <x:c r="P19" s="32" t="str">
        <x:v>confirmed_applied</x:v>
      </x:c>
      <x:c r="Q19" s="32" t="str">
        <x:v>confirmed_no_action</x:v>
      </x:c>
      <x:c r="R19" s="32" t="str"/>
      <x:c r="S19" s="32" t="str"/>
      <x:c r="T19" s="32" t="str"/>
    </x:row>
    <x:row r="20" ht="42" customHeight="1">
      <x:c r="A20" s="32" t="str">
        <x:v>16</x:v>
      </x:c>
      <x:c r="B20" s="32" t="str">
        <x:v>ТОО Богатырь Комир</x:v>
      </x:c>
      <x:c r="C20" s="32" t="str">
        <x:v>Аудит ФО 2024</x:v>
      </x:c>
      <x:c r="D20" s="32" t="n">
        <x:v>2024</x:v>
      </x:c>
      <x:c r="E20" s="32" t="str">
        <x:v>ноября 2024г. - февраль 2025г.</x:v>
      </x:c>
      <x:c r="F20" s="32" t="str">
        <x:v>ТОО Богатырь Комир</x:v>
      </x:c>
      <x:c r="G20" s="32" t="str">
        <x:v>high</x:v>
      </x:c>
      <x:c r="H20" s="32" t="str">
        <x:v>exact</x:v>
      </x:c>
      <x:c r="I20" s="32" t="str">
        <x:v>1. ТОО Богатырь Комир [255] (2f5dfee7-0abd-4604-b144-e1e487f01283)
2. ТОО Богатырь Комир (за период 2022-2024) [170] (d255a0da-ce08-463f-9992-fadb30b2f025)</x:v>
      </x:c>
      <x:c r="J20" s="32" t="str">
        <x:v>ТОО Богатырь Комир</x:v>
      </x:c>
      <x:c r="K20" s="33" t="b">
        <x:v>1</x:v>
      </x:c>
      <x:c r="L20" s="33" t="b">
        <x:v>1</x:v>
      </x:c>
      <x:c r="M20" s="32" t="n">
        <x:v>150</x:v>
      </x:c>
      <x:c r="N20" s="32" t="n">
        <x:v>1092</x:v>
      </x:c>
      <x:c r="O20" s="33" t="b">
        <x:v>0</x:v>
      </x:c>
      <x:c r="P20" s="32" t="str">
        <x:v>confirmed_applied</x:v>
      </x:c>
      <x:c r="Q20" s="32" t="str">
        <x:v>confirmed_no_action</x:v>
      </x:c>
      <x:c r="R20" s="32" t="str"/>
      <x:c r="S20" s="32" t="str"/>
      <x:c r="T20" s="32" t="str"/>
    </x:row>
    <x:row r="21" ht="42" customHeight="1">
      <x:c r="A21" s="32" t="str">
        <x:v>17</x:v>
      </x:c>
      <x:c r="B21" s="32" t="str">
        <x:v>KIDF Fund</x:v>
      </x:c>
      <x:c r="C21" s="32" t="str">
        <x:v>Аудит ФО 2024</x:v>
      </x:c>
      <x:c r="D21" s="32" t="n">
        <x:v>2024</x:v>
      </x:c>
      <x:c r="E21" s="32" t="str">
        <x:v>декабря 2024г. - февраль 2025г.</x:v>
      </x:c>
      <x:c r="F21" s="32" t="str"/>
      <x:c r="G21" s="32" t="str">
        <x:v>unmatched</x:v>
      </x:c>
      <x:c r="H21" s="32" t="str">
        <x:v>conflict</x:v>
      </x:c>
      <x:c r="I21" s="32" t="str">
        <x:v>1. Частная комапания «Kazakhstan Investment Development Fund (KIDF) Management Company»  - Аудит финансовой отчетности (далее – финансовая отчетность) «Direct Investment Fund «Kazakhstan Investment Development Fund (КIDF)» Ltd. (далее – KIDF), подготовленной в соответствии с Международными Стандартами Финансовой Отчетности (далее - МСФО) по состоянию на и за год, завершившийся 31 декабря 2025 года: [109] (63a9c971-6408-41ea-ac6c-63991b4651de)
2. Частная Компания «Kazakhstan Investment Development Fund (KIDF) Management Company» Ltd. - услуги по проведению аудита финансовой отчетности (далее – финансовая отчетность) Частной компании «Kazakhstan Investment Development Fund (KIDF) Management Company» Ltd. (далее – KIDF), подготовленной в соответствии с Международными Стандартами Финансовой Отчетности (далее - МСФО) по состоянию на и за год, завершившийся 31 декабря 2025 года [109] (8a0341c5-d915-4e7d-a535-df88c5ff8c30)
3. Компания специального назначения Fund of Initial Public Offerings SPC Limited  - услуг по проведению аудита финансовой отчетности Компании специального назначения FF IUIF Fixed Income USD SPC Limited за период 2025 год (далее – «Услуги») по стандартам МСФО. Валюта презентации финансовой отчетности – в долларах США [84] (f4c26e33-c26b-4422-9248-a36ce407d4e4)
4. 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 [84] (03813a13-459e-4d7f-ac17-8e2d050faccd)
5. Частная компания  Golden Leaves Ltd - услуг по проведению:
1.1.1. аудита консолидированной финансовой отчетности Частной компании  Golden Leaves Ltd., за 2025 год, в соответствии с МСФО и МСА. Валюта презентации финансовой отчетности – в долларах США;
1.1.2. аудита финансовой отчетности Kaz Financials SPC Limited, за 2025 год, в соответствии с МСФО и МСА. Валюта презентации финансовой отчетности – в долларах США;
1.1.3. аудита финансовой отчетности Global Fund A SPC Limited., за 2025 год, в соответствии с МСФО и МСА. Валюта презентации финансовой отчетности – в долларах США  [84] (59f4631a-a6df-475b-8543-d9405dc6206c)</x:v>
      </x:c>
      <x:c r="J21" s="32" t="str">
        <x:v>Частная комапания «Kazakhstan Investment Development Fund (KIDF) Management Company»  - Аудит финансовой отчетности (далее – финансовая отчетность) «Direct Investment Fund «Kazakhstan Investment Development Fund (КIDF)» Ltd. (далее – KIDF), подготовленной в соответствии с Международными Стандартами Финансовой Отчетности (далее - МСФО) по состоянию на и за год, завершившийся 31 декабря 2025 года:</x:v>
      </x:c>
      <x:c r="K21" s="33" t="b">
        <x:v>0</x:v>
      </x:c>
      <x:c r="L21" s="33" t="b">
        <x:v>0</x:v>
      </x:c>
      <x:c r="M21" s="32" t="n">
        <x:v>0</x:v>
      </x:c>
      <x:c r="N21" s="32" t="n">
        <x:v>0</x:v>
      </x:c>
      <x:c r="O21" s="33" t="b">
        <x:v>0</x:v>
      </x:c>
      <x:c r="P21" s="32" t="str">
        <x:v>insufficient_evidence</x:v>
      </x:c>
      <x:c r="Q21" s="32" t="str">
        <x:v>verify_source_specific_evidence</x:v>
      </x:c>
      <x:c r="R21" s="32" t="str"/>
      <x:c r="S21" s="32" t="str"/>
      <x:c r="T21" s="32" t="str"/>
    </x:row>
    <x:row r="22" ht="42" customHeight="1">
      <x:c r="A22" s="32" t="str">
        <x:v>18</x:v>
      </x:c>
      <x:c r="B22" s="32" t="str">
        <x:v>KIDF MC</x:v>
      </x:c>
      <x:c r="C22" s="32" t="str">
        <x:v>Аудит ФО 2024</x:v>
      </x:c>
      <x:c r="D22" s="32" t="n">
        <x:v>2024</x:v>
      </x:c>
      <x:c r="E22" s="32" t="str">
        <x:v>декабря 2024г. - февраль 2025г.</x:v>
      </x:c>
      <x:c r="F22" s="32" t="str"/>
      <x:c r="G22" s="32" t="str">
        <x:v>unmatched</x:v>
      </x:c>
      <x:c r="H22" s="32" t="str">
        <x:v>conflict</x:v>
      </x:c>
      <x:c r="I22" s="32" t="str">
        <x:v>1. Частная комапания «Kazakhstan Investment Development Fund (KIDF) Management Company»  - Аудит финансовой отчетности (далее – финансовая отчетность) «Direct Investment Fund «Kazakhstan Investment Development Fund (КIDF)» Ltd. (далее – KIDF), подготовленной в соответствии с Международными Стандартами Финансовой Отчетности (далее - МСФО) по состоянию на и за год, завершившийся 31 декабря 2025 года: [84] (63a9c971-6408-41ea-ac6c-63991b4651de)
2. Частная Компания «Kazakhstan Investment Development Fund (KIDF) Management Company» Ltd. - услуги по проведению аудита финансовой отчетности (далее – финансовая отчетность) Частной компании «Kazakhstan Investment Development Fund (KIDF) Management Company» Ltd. (далее – KIDF), подготовленной в соответствии с Международными Стандартами Финансовой Отчетности (далее - МСФО) по состоянию на и за год, завершившийся 31 декабря 2025 года [84] (8a0341c5-d915-4e7d-a535-df88c5ff8c30)
3. «Kazakhstan Investment Development Fund (KIDF) Management Company» Ltd. [25] (421319ad-2ba0-4cdc-92af-f94aa4b15c6d)
4. «Kazakhstan Investment Development Fund (KIDF) Management Company» Ltd. [25] (7c2d2e93-8beb-46d1-a67f-447d21c07415)</x:v>
      </x:c>
      <x:c r="J22" s="32" t="str">
        <x:v>Частная комапания «Kazakhstan Investment Development Fund (KIDF) Management Company»  - Аудит финансовой отчетности (далее – финансовая отчетность) «Direct Investment Fund «Kazakhstan Investment Development Fund (КIDF)» Ltd. (далее – KIDF), подготовленной в соответствии с Международными Стандартами Финансовой Отчетности (далее - МСФО) по состоянию на и за год, завершившийся 31 декабря 2025 года:</x:v>
      </x:c>
      <x:c r="K22" s="33" t="b">
        <x:v>0</x:v>
      </x:c>
      <x:c r="L22" s="33" t="b">
        <x:v>0</x:v>
      </x:c>
      <x:c r="M22" s="32" t="n">
        <x:v>0</x:v>
      </x:c>
      <x:c r="N22" s="32" t="n">
        <x:v>0</x:v>
      </x:c>
      <x:c r="O22" s="33" t="b">
        <x:v>0</x:v>
      </x:c>
      <x:c r="P22" s="32" t="str">
        <x:v>insufficient_evidence</x:v>
      </x:c>
      <x:c r="Q22" s="32" t="str">
        <x:v>verify_source_specific_evidence</x:v>
      </x:c>
      <x:c r="R22" s="32" t="str"/>
      <x:c r="S22" s="32" t="str"/>
      <x:c r="T22" s="32" t="str"/>
    </x:row>
    <x:row r="23" ht="42" customHeight="1">
      <x:c r="A23" s="32" t="str">
        <x:v>19</x:v>
      </x:c>
      <x:c r="B23" s="32" t="str">
        <x:v>ЧК Aktau Tourism City Ltd.</x:v>
      </x:c>
      <x:c r="C23" s="32" t="str">
        <x:v>Аудит ФО 2024</x:v>
      </x:c>
      <x:c r="D23" s="32" t="n">
        <x:v>2024</x:v>
      </x:c>
      <x:c r="E23" s="32" t="str">
        <x:v>декабря 2024г. - февраль 2025г.</x:v>
      </x:c>
      <x:c r="F23" s="32" t="str"/>
      <x:c r="G23" s="32" t="str">
        <x:v>unmatched</x:v>
      </x:c>
      <x:c r="H23" s="32" t="str">
        <x:v>exact</x:v>
      </x:c>
      <x:c r="I23" s="32" t="str">
        <x:v>1. Частная компания Aktau Tourism City Ltd - услуги по проведению аудита консолидированной финансовой отчетности Частной Компании Aktau Tourism City Ltd. (включая филиал и дочернюю компанию ТОО «ATC Management»), подготовленной в соответствии с международными стандартами финансовой отчетности за год, завершающийся 31 декабря 2025 года. Валюта презентации финансовой отчетности – тенге  [109] (fd906944-17fe-4f3f-a1c5-d4ca192b0e88)
2. Частная Компания Turkistan Tourism City Ltd - услуги по проведению аудита консолидированной финансовой отчетности Частной Компании Turkistan Tourism City Ltd., подготовленной в соответствии с международными стандартами финансовой отчетности за год, завершающийся 31 декабря 2025 года. Валюта презентации финансовой отчетности – тенге  [97] (c2c8c54f-9e3c-42b7-8450-67b07dfc170a)
3. Частная Компания Aktau Tourism City Ltd [38] (b705908e-4f18-4d15-9ba0-59235f3dc10b)
4. Частная Компания Aktau Tourism City Ltd [38] (8e331c7d-c5ff-410a-9fd4-b1a2a7f174e4)
5. Частная Компания Aktau Tourism City Ltd [38] (5d047145-11a9-4dab-bdb2-07aa25ad077c)</x:v>
      </x:c>
      <x:c r="J23" s="32" t="str">
        <x:v>Частная компания Aktau Tourism City Ltd - услуги по проведению аудита консолидированной финансовой отчетности Частной Компании Aktau Tourism City Ltd. (включая филиал и дочернюю компанию ТОО «ATC Management»), подготовленной в соответствии с международными стандартами финансовой отчетности за год, завершающийся 31 декабря 2025 года. Валюта презентации финансовой отчетности – тенге </x:v>
      </x:c>
      <x:c r="K23" s="33" t="b">
        <x:v>1</x:v>
      </x:c>
      <x:c r="L23" s="33" t="b">
        <x:v>0</x:v>
      </x:c>
      <x:c r="M23" s="32" t="n">
        <x:v>0</x:v>
      </x:c>
      <x:c r="N23" s="32" t="n">
        <x:v>0</x:v>
      </x:c>
      <x:c r="O23" s="33" t="b">
        <x:v>0</x:v>
      </x:c>
      <x:c r="P23" s="32" t="str">
        <x:v>confirmed_applied</x:v>
      </x:c>
      <x:c r="Q23" s="32" t="str">
        <x:v>confirmed_no_action</x:v>
      </x:c>
      <x:c r="R23" s="32" t="str"/>
      <x:c r="S23" s="32" t="str"/>
      <x:c r="T23" s="32" t="str"/>
    </x:row>
    <x:row r="24" ht="42" customHeight="1">
      <x:c r="A24" s="32" t="str">
        <x:v>20</x:v>
      </x:c>
      <x:c r="B24" s="32" t="str">
        <x:v>ЧК «Ellington Group KAZ» Ltd.</x:v>
      </x:c>
      <x:c r="C24" s="32" t="str">
        <x:v>Аудит ФО 2024</x:v>
      </x:c>
      <x:c r="D24" s="32" t="n">
        <x:v>2024</x:v>
      </x:c>
      <x:c r="E24" s="32" t="str">
        <x:v>декабря 2024г. - февраль 2025г.</x:v>
      </x:c>
      <x:c r="F24" s="32" t="str"/>
      <x:c r="G24" s="32" t="str">
        <x:v>unmatched</x:v>
      </x:c>
      <x:c r="H24" s="32" t="str">
        <x:v>exact</x:v>
      </x:c>
      <x:c r="I24" s="32" t="str">
        <x:v>1. Частная Компания Ellington Group KAZ Ltd - оказывает услуги по проведению аудита финансовой отчетности Частной Компании Ellington Group KAZ Ltd., подготовленной в соответствии с международными стандартами финансовой отчетности за год, завершающийся 31 декабря 2025 года. Валюта презентации финансовой отчетности – тенге (согласно Приложению №1 и №2 к Договору). [109] (cfdebe19-26f6-4d30-b77e-f6d3269c84aa)
2. Частная комапания «Kazakhstan Investment Development Fund (KIDF) Management Company»  - Аудит финансовой отчетности (далее – финансовая отчетность) «Direct Investment Fund «Kazakhstan Investment Development Fund (КIDF)» Ltd. (далее – KIDF), подготовленной в соответствии с Международными Стандартами Финансовой Отчетности (далее - МСФО) по состоянию на и за год, завершившийся 31 декабря 2025 года: [84] (63a9c971-6408-41ea-ac6c-63991b4651de)
3. Частная компания  Golden Leaves Ltd - услуг по проведению:
1.1.1. аудита консолидированной финансовой отчетности Частной компании  Golden Leaves Ltd., за 2025 год, в соответствии с МСФО и МСА. Валюта презентации финансовой отчетности – в долларах США;
1.1.2. аудита финансовой отчетности Kaz Financials SPC Limited, за 2025 год, в соответствии с МСФО и МСА. Валюта презентации финансовой отчетности – в долларах США;
1.1.3. аудита финансовой отчетности Global Fund A SPC Limited., за 2025 год, в соответствии с МСФО и МСА. Валюта презентации финансовой отчетности – в долларах США  [84] (59f4631a-a6df-475b-8543-d9405dc6206c)
4. Частная Компания «Kazakhstan Investment Development Fund (KIDF) Management Company» Ltd. - услуги по проведению аудита финансовой отчетности (далее – финансовая отчетность) Частной компании «Kazakhstan Investment Development Fund (KIDF) Management Company» Ltd. (далее – KIDF), подготовленной в соответствии с Международными Стандартами Финансовой Отчетности (далее - МСФО) по состоянию на и за год, завершившийся 31 декабря 2025 года [84] (8a0341c5-d915-4e7d-a535-df88c5ff8c30)
5. Частная компания EA Group Finance Ltd - услуг по проведению аудита финансовой отчетности Частной компании EA Group Finance Ltd., за 2025 год, в соответствии с МСФО и МСА. Валюта презентации финансовой отчетности – в долларах США или в тенге  [84] (1814aa5f-33ff-436e-b228-1916e7456648)</x:v>
      </x:c>
      <x:c r="J24" s="32" t="str">
        <x:v>Частная Компания Ellington Group KAZ Ltd - оказывает услуги по проведению аудита финансовой отчетности Частной Компании Ellington Group KAZ Ltd., подготовленной в соответствии с международными стандартами финансовой отчетности за год, завершающийся 31 декабря 2025 года. Валюта презентации финансовой отчетности – тенге (согласно Приложению №1 и №2 к Договору).</x:v>
      </x:c>
      <x:c r="K24" s="33" t="b">
        <x:v>0</x:v>
      </x:c>
      <x:c r="L24" s="33" t="b">
        <x:v>0</x:v>
      </x:c>
      <x:c r="M24" s="32" t="n">
        <x:v>0</x:v>
      </x:c>
      <x:c r="N24" s="32" t="n">
        <x:v>0</x:v>
      </x:c>
      <x:c r="O24" s="33" t="b">
        <x:v>0</x:v>
      </x:c>
      <x:c r="P24" s="32" t="str">
        <x:v>insufficient_evidence</x:v>
      </x:c>
      <x:c r="Q24" s="32" t="str">
        <x:v>verify_source_specific_evidence</x:v>
      </x:c>
      <x:c r="R24" s="32" t="str"/>
      <x:c r="S24" s="32" t="str"/>
      <x:c r="T24" s="32" t="str"/>
    </x:row>
    <x:row r="25" ht="42" customHeight="1">
      <x:c r="A25" s="32" t="str">
        <x:v>21</x:v>
      </x:c>
      <x:c r="B25" s="32" t="str">
        <x:v>ЧК Tethys International Touristic Hub Ltd.</x:v>
      </x:c>
      <x:c r="C25" s="32" t="str">
        <x:v>Аудит ФО 2024</x:v>
      </x:c>
      <x:c r="D25" s="32" t="n">
        <x:v>2024</x:v>
      </x:c>
      <x:c r="E25" s="32" t="str">
        <x:v>декабря 2024г. - февраль 2025г.</x:v>
      </x:c>
      <x:c r="F25" s="32" t="str"/>
      <x:c r="G25" s="32" t="str">
        <x:v>unmatched</x:v>
      </x:c>
      <x:c r="H25" s="32" t="str">
        <x:v>conflict</x:v>
      </x:c>
      <x:c r="I25" s="32" t="str">
        <x:v>1. ТОО «TURKISTAN SILK WAY HARBOR» - услуги по проведению аудита консолидированной финансовой отчетности Частной Компании Tethys International Touristic Hub Ltd. (включая дочерние компании), подготовленной в соответствии с международными стандартами финансовой отчетности за год, завершающийся 31 декабря 2025 года. Валюта презентации финансовой отчетности – тенге [109] (19192538-8c62-4471-899c-8a54877508ae)
2. Частная Компания Tethys International Touristic Hub Ltd. - услуги по проведению аудита консолидированной финансовой отчетности Частной Компании Tethys International Touristic Hub Ltd. (включая дочерние компании), подготовленной в соответствии с международными стандартами финансовой отчетности за год, завершающийся 31 декабря 2025 года. Валюта презентации финансовой отчетности – тенге  [109] (dcc46d43-47da-4918-8732-234da9760120)
3. Частная Компания Title Broker International Ltd - Провести аудит и подготовить отчет по финансовой отчетности Title Broker International Ltd. за 2025 финансовый год для Заказчика с соблюдением и в соответствии Международных стандартов финансовой отчетности ("МСФО") и нормативом, установленных МФЦА, включая Положение о компаниях МФЦА, Правил о компаний МФЦА и применимым законодательство МФЦА. Валюта презентации финансовой отчетности – в долларах США  [79] (1b92ca8f-66e3-4564-9a69-ae9a274a438d)
4. Частная Компания Tethys International Touristic Hub Ltd.  [50] (a88b1daf-b6ce-4141-a2e9-548ed5bec6e2)
5. Частная Компания Tethys International Touristic Hub Ltd.  [50] (7951716f-1e30-4fc6-9b1b-5ab1b1669e44)</x:v>
      </x:c>
      <x:c r="J25" s="32" t="str">
        <x:v>ТОО «TURKISTAN SILK WAY HARBOR» - услуги по проведению аудита консолидированной финансовой отчетности Частной Компании Tethys International Touristic Hub Ltd. (включая дочерние компании), подготовленной в соответствии с международными стандартами финансовой отчетности за год, завершающийся 31 декабря 2025 года. Валюта презентации финансовой отчетности – тенге</x:v>
      </x:c>
      <x:c r="K25" s="33" t="b">
        <x:v>0</x:v>
      </x:c>
      <x:c r="L25" s="33" t="b">
        <x:v>0</x:v>
      </x:c>
      <x:c r="M25" s="32" t="n">
        <x:v>0</x:v>
      </x:c>
      <x:c r="N25" s="32" t="n">
        <x:v>0</x:v>
      </x:c>
      <x:c r="O25" s="33" t="b">
        <x:v>0</x:v>
      </x:c>
      <x:c r="P25" s="32" t="str">
        <x:v>insufficient_evidence</x:v>
      </x:c>
      <x:c r="Q25" s="32" t="str">
        <x:v>verify_source_specific_evidence</x:v>
      </x:c>
      <x:c r="R25" s="32" t="str"/>
      <x:c r="S25" s="32" t="str"/>
      <x:c r="T25" s="32" t="str"/>
    </x:row>
    <x:row r="26" ht="42" customHeight="1">
      <x:c r="A26" s="32" t="str">
        <x:v>22</x:v>
      </x:c>
      <x:c r="B26" s="32" t="str">
        <x:v>ЧК Turkistan Tourism City Ltd.</x:v>
      </x:c>
      <x:c r="C26" s="32" t="str">
        <x:v>Аудит ФО 2024</x:v>
      </x:c>
      <x:c r="D26" s="32" t="n">
        <x:v>2024</x:v>
      </x:c>
      <x:c r="E26" s="32" t="str">
        <x:v>декабря 2024г. - февраль 2025г.</x:v>
      </x:c>
      <x:c r="F26" s="32" t="str"/>
      <x:c r="G26" s="32" t="str">
        <x:v>unmatched</x:v>
      </x:c>
      <x:c r="H26" s="32" t="str">
        <x:v>exact</x:v>
      </x:c>
      <x:c r="I26" s="32" t="str">
        <x:v>1. Частная Компания Turkistan Tourism City Ltd - услуги по проведению аудита консолидированной финансовой отчетности Частной Компании Turkistan Tourism City Ltd., подготовленной в соответствии с международными стандартами финансовой отчетности за год, завершающийся 31 декабря 2025 года. Валюта презентации финансовой отчетности – тенге  [109] (c2c8c54f-9e3c-42b7-8450-67b07dfc170a)
2. Частная компания Aktau Tourism City Ltd - услуги по проведению аудита консолидированной финансовой отчетности Частной Компании Aktau Tourism City Ltd. (включая филиал и дочернюю компанию ТОО «ATC Management»), подготовленной в соответствии с международными стандартами финансовой отчетности за год, завершающийся 31 декабря 2025 года. Валюта презентации финансовой отчетности – тенге  [97] (fd906944-17fe-4f3f-a1c5-d4ca192b0e88)
3. ТОО «TURKISTAN SILK WAY HARBOR» - услуги по проведению аудита консолидированной финансовой отчетности Частной Компании Tethys International Touristic Hub Ltd. (включая дочерние компании), подготовленной в соответствии с международными стандартами финансовой отчетности за год, завершающийся 31 декабря 2025 года. Валюта презентации финансовой отчетности – тенге [84] (19192538-8c62-4471-899c-8a54877508ae)
4. Частная Компания Turkistan Tourism City Ltd [38] (34259f5d-7a6b-4ef3-876f-61851d0147d3)
5. Частная Компания Turkistan Tourism City Ltd [38] (4510e5bd-1e92-45cb-9dc7-2e89d23451a1)</x:v>
      </x:c>
      <x:c r="J26" s="32" t="str">
        <x:v>Частная Компания Turkistan Tourism City Ltd - услуги по проведению аудита консолидированной финансовой отчетности Частной Компании Turkistan Tourism City Ltd., подготовленной в соответствии с международными стандартами финансовой отчетности за год, завершающийся 31 декабря 2025 года. Валюта презентации финансовой отчетности – тенге </x:v>
      </x:c>
      <x:c r="K26" s="33" t="b">
        <x:v>0</x:v>
      </x:c>
      <x:c r="L26" s="33" t="b">
        <x:v>0</x:v>
      </x:c>
      <x:c r="M26" s="32" t="n">
        <x:v>0</x:v>
      </x:c>
      <x:c r="N26" s="32" t="n">
        <x:v>0</x:v>
      </x:c>
      <x:c r="O26" s="33" t="b">
        <x:v>0</x:v>
      </x:c>
      <x:c r="P26" s="32" t="str">
        <x:v>insufficient_evidence</x:v>
      </x:c>
      <x:c r="Q26" s="32" t="str">
        <x:v>verify_source_specific_evidence</x:v>
      </x:c>
      <x:c r="R26" s="32" t="str"/>
      <x:c r="S26" s="32" t="str"/>
      <x:c r="T26" s="32" t="str"/>
    </x:row>
    <x:row r="27" ht="42" customHeight="1">
      <x:c r="A27" s="32" t="str">
        <x:v>23</x:v>
      </x:c>
      <x:c r="B27" s="32" t="str">
        <x:v>ЧК Horizon</x:v>
      </x:c>
      <x:c r="C27" s="32" t="str">
        <x:v>Аудит ФО 2024</x:v>
      </x:c>
      <x:c r="D27" s="32" t="n">
        <x:v>2024</x:v>
      </x:c>
      <x:c r="E27" s="32" t="str">
        <x:v>февраля 2025г. - март 2025г.</x:v>
      </x:c>
      <x:c r="F27" s="32" t="str"/>
      <x:c r="G27" s="32" t="str">
        <x:v>unmatched</x:v>
      </x:c>
      <x:c r="H27" s="32" t="str">
        <x:v>exact</x:v>
      </x:c>
      <x:c r="I27" s="32" t="str">
        <x:v>1. Частная компания открытого инвестиционного типа HORIZON OEIC Ltd. - услуги по проведению аудита финансовой отчетности за 2025 год (далее – Услуги) по стандартам МСФО. Валюта презентации финансовой отчетности – в долларах США [109] (2910d38a-53ab-4031-9485-76c8f08ea99d)
2. Частная компания открытого инвестиционного типа HORIZON OEIC Ltd [50] (b843a64e-da6d-4f3d-b45d-9f63e2deaed5)</x:v>
      </x:c>
      <x:c r="J27" s="32" t="str">
        <x:v>Частная компания открытого инвестиционного типа HORIZON OEIC Ltd. - услуги по проведению аудита финансовой отчетности за 2025 год (далее – Услуги) по стандартам МСФО. Валюта презентации финансовой отчетности – в долларах США</x:v>
      </x:c>
      <x:c r="K27" s="33" t="b">
        <x:v>0</x:v>
      </x:c>
      <x:c r="L27" s="33" t="b">
        <x:v>0</x:v>
      </x:c>
      <x:c r="M27" s="32" t="n">
        <x:v>0</x:v>
      </x:c>
      <x:c r="N27" s="32" t="n">
        <x:v>0</x:v>
      </x:c>
      <x:c r="O27" s="33" t="b">
        <x:v>0</x:v>
      </x:c>
      <x:c r="P27" s="32" t="str">
        <x:v>insufficient_evidence</x:v>
      </x:c>
      <x:c r="Q27" s="32" t="str">
        <x:v>verify_source_specific_evidence</x:v>
      </x:c>
      <x:c r="R27" s="32" t="str"/>
      <x:c r="S27" s="32" t="str"/>
      <x:c r="T27" s="32" t="str"/>
    </x:row>
    <x:row r="28" ht="42" customHeight="1">
      <x:c r="A28" s="32" t="str">
        <x:v>24</x:v>
      </x:c>
      <x:c r="B28" s="32" t="str">
        <x:v>ЧК Orient Fund</x:v>
      </x:c>
      <x:c r="C28" s="32" t="str">
        <x:v>Аудит ФО 2024</x:v>
      </x:c>
      <x:c r="D28" s="32" t="n">
        <x:v>2024</x:v>
      </x:c>
      <x:c r="E28" s="32" t="str">
        <x:v>февраля 2025г. - март 2025г.</x:v>
      </x:c>
      <x:c r="F28" s="32" t="str"/>
      <x:c r="G28" s="32" t="str">
        <x:v>unmatched</x:v>
      </x:c>
      <x:c r="H28" s="32" t="str">
        <x:v>conflict</x:v>
      </x:c>
      <x:c r="I28" s="32" t="str">
        <x:v>1. Компания специального назначения Fund of Initial Public Offerings SPC Limited  - услуг по проведению аудита финансовой отчетности Компании специального назначения FF IUIF Fixed Income USD SPC Limited за период 2025 год (далее – «Услуги») по стандартам МСФО. Валюта презентации финансовой отчетности – в долларах США [84] (f4c26e33-c26b-4422-9248-a36ce407d4e4)
2. 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 [84] (03813a13-459e-4d7f-ac17-8e2d050faccd)
3. Частная комапания «Kazakhstan Investment Development Fund (KIDF) Management Company»  - Аудит финансовой отчетности (далее – финансовая отчетность) «Direct Investment Fund «Kazakhstan Investment Development Fund (КIDF)» Ltd. (далее – KIDF), подготовленной в соответствии с Международными Стандартами Финансовой Отчетности (далее - МСФО) по состоянию на и за год, завершившийся 31 декабря 2025 года: [84] (63a9c971-6408-41ea-ac6c-63991b4651de)
4. Частная компания  Golden Leaves Ltd - услуг по проведению:
1.1.1. аудита консолидированной финансовой отчетности Частной компании  Golden Leaves Ltd., за 2025 год, в соответствии с МСФО и МСА. Валюта презентации финансовой отчетности – в долларах США;
1.1.2. аудита финансовой отчетности Kaz Financials SPC Limited, за 2025 год, в соответствии с МСФО и МСА. Валюта презентации финансовой отчетности – в долларах США;
1.1.3. аудита финансовой отчетности Global Fund A SPC Limited., за 2025 год, в соответствии с МСФО и МСА. Валюта презентации финансовой отчетности – в долларах США  [84] (59f4631a-a6df-475b-8543-d9405dc6206c)
5. Частная Компания «Kazakhstan Investment Development Fund (KIDF) Management Company» Ltd. - услуги по проведению аудита финансовой отчетности (далее – финансовая отчетность) Частной компании «Kazakhstan Investment Development Fund (KIDF) Management Company» Ltd. (далее – KIDF), подготовленной в соответствии с Международными Стандартами Финансовой Отчетности (далее - МСФО) по состоянию на и за год, завершившийся 31 декабря 2025 года [84] (8a0341c5-d915-4e7d-a535-df88c5ff8c30)</x:v>
      </x:c>
      <x:c r="J28" s="32" t="str">
        <x:v>Компания специального назначения Fund of Initial Public Offerings SPC Limited  - услуг по проведению аудита финансовой отчетности Компании специального назначения FF IUIF Fixed Income USD SPC Limited за период 2025 год (далее – «Услуги») по стандартам МСФО. Валюта презентации финансовой отчетности – в долларах США</x:v>
      </x:c>
      <x:c r="K28" s="33" t="b">
        <x:v>0</x:v>
      </x:c>
      <x:c r="L28" s="33" t="b">
        <x:v>0</x:v>
      </x:c>
      <x:c r="M28" s="32" t="n">
        <x:v>0</x:v>
      </x:c>
      <x:c r="N28" s="32" t="n">
        <x:v>0</x:v>
      </x:c>
      <x:c r="O28" s="33" t="b">
        <x:v>0</x:v>
      </x:c>
      <x:c r="P28" s="32" t="str">
        <x:v>insufficient_evidence</x:v>
      </x:c>
      <x:c r="Q28" s="32" t="str">
        <x:v>verify_source_specific_evidence</x:v>
      </x:c>
      <x:c r="R28" s="32" t="str"/>
      <x:c r="S28" s="32" t="str"/>
      <x:c r="T28" s="32" t="str"/>
    </x:row>
    <x:row r="29" ht="42" customHeight="1">
      <x:c r="A29" s="32" t="str">
        <x:v>25</x:v>
      </x:c>
      <x:c r="B29" s="32" t="str">
        <x:v>ЧК Orient УК</x:v>
      </x:c>
      <x:c r="C29" s="32" t="str">
        <x:v>Аудит ФО 2024</x:v>
      </x:c>
      <x:c r="D29" s="32" t="n">
        <x:v>2024</x:v>
      </x:c>
      <x:c r="E29" s="32" t="str">
        <x:v>февраля 2025г. - март 2025г.</x:v>
      </x:c>
      <x:c r="F29" s="32" t="str"/>
      <x:c r="G29" s="32" t="str">
        <x:v>unmatched</x:v>
      </x:c>
      <x:c r="H29" s="32" t="str">
        <x:v>conflict</x:v>
      </x:c>
      <x:c r="I29" s="32" t="str">
        <x:v>1. ИП Мукашева КБ  - услуг по проведению аудита финансовой отчетности за период с 1 января 2025 года по 31 декабря 2025 года  [84] (93040f67-6f4d-4f28-9b29-20e02d2e5ead)
2. Корпоративный фонд Zhyly Zhurek Foundation  - Предметом договора являются Услуги по проведению аудита финансовой отчетности за
деятельность Заказчика за период 12 месяцев 2025 года, подготовленной в соответствии с
Международными Стандартами Финансовой Отчетности (МСФО) с выдачей Отчета независимого
аудитора по аудиту годовой финансовой отчетности, на английском и русском языках, письма
руководству с замечаниями по результатам аудита.
2.2. Договор и приложения к нему утверждаются путем подписания через электронные порталы
Doculite/Documentolog. Исполнитель должен быть зарегистрирован на указанных порталах. [84] (064f1107-57c8-4fd4-a36c-2ec5b9d268f8)
3. Республиканское государственное учреждение «Министерство финансов Республики Казахстан» - Аудита инвестиционных проектов, финансируемых Международным Банком Реконструкции и Развития (МБРР), за период с 1 января 2025 года по 31 декабря 2025 года
 [84] (3202cb3a-9f27-416d-afc1-d240bd4cfa33)
4. ТОО «Специальное конструкторско-технологическое бюро «Гранит» - услуг по проведению аудита финансовой отчетности ТОО «Специальное конструкторско-технологическое бюро «Гранит» за 2025 год, подготовленной в соответствии с Международными Стандартами Финансовой Отчетности (МСФО) [84] (db437197-5c20-4811-9bc6-bf6f8baab384)
5. ТОО КАЗЕВРОМОБАЙЛ  - Аудит финансовой отчетности за 12 месяцев 2025 г., с выдачей Отчета независимого аудитора по внешнему аудиту годовой финансовой отчетности, на английском и русском языках, письма руководству Заказчика с указанием замечаний по результатам аудита [84] (941aac64-3890-4f29-b5db-48d2001be6f4)</x:v>
      </x:c>
      <x:c r="J29" s="32" t="str">
        <x:v>ИП Мукашева КБ  - услуг по проведению аудита финансовой отчетности за период с 1 января 2025 года по 31 декабря 2025 года </x:v>
      </x:c>
      <x:c r="K29" s="33" t="b">
        <x:v>0</x:v>
      </x:c>
      <x:c r="L29" s="33" t="b">
        <x:v>0</x:v>
      </x:c>
      <x:c r="M29" s="32" t="n">
        <x:v>0</x:v>
      </x:c>
      <x:c r="N29" s="32" t="n">
        <x:v>0</x:v>
      </x:c>
      <x:c r="O29" s="33" t="b">
        <x:v>0</x:v>
      </x:c>
      <x:c r="P29" s="32" t="str">
        <x:v>insufficient_evidence</x:v>
      </x:c>
      <x:c r="Q29" s="32" t="str">
        <x:v>verify_source_specific_evidence</x:v>
      </x:c>
      <x:c r="R29" s="32" t="str"/>
      <x:c r="S29" s="32" t="str"/>
      <x:c r="T29" s="32" t="str"/>
    </x:row>
    <x:row r="30" ht="42" customHeight="1">
      <x:c r="A30" s="32" t="str">
        <x:v>26</x:v>
      </x:c>
      <x:c r="B30" s="32" t="str">
        <x:v>АО Нефтяная компания КОР</x:v>
      </x:c>
      <x:c r="C30" s="32" t="str">
        <x:v>Аудит ФО 2024</x:v>
      </x:c>
      <x:c r="D30" s="32" t="n">
        <x:v>2024</x:v>
      </x:c>
      <x:c r="E30" s="32" t="str">
        <x:v>апреля 2025г. - май 2025г.</x:v>
      </x:c>
      <x:c r="F30" s="32" t="str">
        <x:v>АО «Нефтяная компания «КОР»</x:v>
      </x:c>
      <x:c r="G30" s="32" t="str">
        <x:v>high</x:v>
      </x:c>
      <x:c r="H30" s="32" t="str">
        <x:v>conflict</x:v>
      </x:c>
      <x:c r="I30" s="32" t="str">
        <x:v>1. АО «Нефтяная компания «КОР» [255] (30a31bc2-3824-44a4-ae2e-8e37364352b2)
2. АО «Нефтяная компания «КОР» [255] (cdc0b3a1-fc05-4e47-8727-33322afec97f)
3. АО «Нефтяная компания «КОР» [255] (20facfa7-69b4-4e9b-8cb5-f8c32bbd1d5f)
4. АО «Нефтяная компания «КОР» [255] (f898001e-44a6-4e09-b3ad-8e13e03cd0ec)
5. АО «Нефтяная компания «КОР» [255] (f21ecf0f-cc83-42c5-87d1-c3933521c9e2)</x:v>
      </x:c>
      <x:c r="J30" s="32" t="str">
        <x:v>АО «Нефтяная компания «КОР»</x:v>
      </x:c>
      <x:c r="K30" s="33" t="b">
        <x:v>1</x:v>
      </x:c>
      <x:c r="L30" s="33" t="b">
        <x:v>1</x:v>
      </x:c>
      <x:c r="M30" s="32" t="n">
        <x:v>0</x:v>
      </x:c>
      <x:c r="N30" s="32" t="n">
        <x:v>0</x:v>
      </x:c>
      <x:c r="O30" s="33" t="b">
        <x:v>0</x:v>
      </x:c>
      <x:c r="P30" s="32" t="str">
        <x:v>confirmed_applied</x:v>
      </x:c>
      <x:c r="Q30" s="32" t="str">
        <x:v>confirmed_no_action</x:v>
      </x:c>
      <x:c r="R30" s="32" t="str"/>
      <x:c r="S30" s="32" t="str"/>
      <x:c r="T30" s="32" t="str"/>
    </x:row>
    <x:row r="31" ht="42" customHeight="1">
      <x:c r="A31" s="32" t="str">
        <x:v>27</x:v>
      </x:c>
      <x:c r="B31" s="32" t="str">
        <x:v>АО Национальные информационные технологии</x:v>
      </x:c>
      <x:c r="C31" s="32" t="str">
        <x:v>Аудит ФО 2024</x:v>
      </x:c>
      <x:c r="D31" s="32" t="n">
        <x:v>2024</x:v>
      </x:c>
      <x:c r="E31" s="32" t="str">
        <x:v>февраля 2025г. - май 2025г.</x:v>
      </x:c>
      <x:c r="F31" s="32" t="str">
        <x:v>АО Национальные информационные технологии (НИТ)</x:v>
      </x:c>
      <x:c r="G31" s="32" t="str">
        <x:v>low</x:v>
      </x:c>
      <x:c r="H31" s="32" t="str">
        <x:v>exact</x:v>
      </x:c>
      <x:c r="I31" s="32" t="str">
        <x:v>1. АО «Национальные информационные технологии» - на безвозмездное оказание аудиторских услуг - услуг по проведению аудита отдельной и консолидированной финансовой отчетности Акционерного общества «Национальные информационные технологии», заканчивающийся 31.12.2025 года, подготовленной в соответствии с Международными Стандартами Финансовой Отчетности, для предоставления и размещения на фондовой бирже KASE.KZ и не используется для иных целей, в том числе для бухгалтерского и налогового учета Заказчика  [194] (905166ec-326e-4e60-9273-fce0d09191f7)
2. АО Национальные информационные технологии (НИТ) [147] (63cf68e4-6e55-42df-bfd9-d3ae5669549a)
3. АО Национальные информационные технологии (НИТ) [147] (c69f51d2-7a77-4202-a8a2-c8fe7d97f849)
4. Акционерное общество «Национальные информационные технологии» - Услуги по проведению ревизий финансовых [62] (ff749fc8-128c-4fa4-abe9-c7591be534e5)</x:v>
      </x:c>
      <x:c r="J31" s="32" t="str">
        <x:v>АО «Национальные информационные технологии» - на безвозмездное оказание аудиторских услуг - услуг по проведению аудита отдельной и консолидированной финансовой отчетности Акционерного общества «Национальные информационные технологии», заканчивающийся 31.12.2025 года, подготовленной в соответствии с Международными Стандартами Финансовой Отчетности, для предоставления и размещения на фондовой бирже KASE.KZ и не используется для иных целей, в том числе для бухгалтерского и налогового учета Заказчика </x:v>
      </x:c>
      <x:c r="K31" s="33" t="b">
        <x:v>1</x:v>
      </x:c>
      <x:c r="L31" s="33" t="b">
        <x:v>0</x:v>
      </x:c>
      <x:c r="M31" s="32" t="n">
        <x:v>0</x:v>
      </x:c>
      <x:c r="N31" s="32" t="n">
        <x:v>0</x:v>
      </x:c>
      <x:c r="O31" s="33" t="b">
        <x:v>0</x:v>
      </x:c>
      <x:c r="P31" s="32" t="str">
        <x:v>confirmed_applied</x:v>
      </x:c>
      <x:c r="Q31" s="32" t="str">
        <x:v>confirmed_no_action</x:v>
      </x:c>
      <x:c r="R31" s="32" t="str"/>
      <x:c r="S31" s="32" t="str"/>
      <x:c r="T31" s="32" t="str"/>
    </x:row>
    <x:row r="32" ht="42" customHeight="1">
      <x:c r="A32" s="32" t="str">
        <x:v>28</x:v>
      </x:c>
      <x:c r="B32" s="32" t="str">
        <x:v>Частная компания «ANKA CAPITAL Ltd.»</x:v>
      </x:c>
      <x:c r="C32" s="32" t="str">
        <x:v>Аудит ФО 2024</x:v>
      </x:c>
      <x:c r="D32" s="32" t="n">
        <x:v>2024</x:v>
      </x:c>
      <x:c r="E32" s="32" t="str">
        <x:v>июнь 2025г.</x:v>
      </x:c>
      <x:c r="F32" s="32" t="str">
        <x:v>Частная компания ANKA CAPITAL LTD (Группа компаний АО "Lancaster Group Kazakhstan") </x:v>
      </x:c>
      <x:c r="G32" s="32" t="str">
        <x:v>low</x:v>
      </x:c>
      <x:c r="H32" s="32" t="str">
        <x:v>conflict</x:v>
      </x:c>
      <x:c r="I32" s="32" t="str">
        <x:v>1. Частная компания «Quantum Capital Ltd.» - услуг по проведению аудита финансовой отчетности Частной компании Quantum Capital Ltd, за 2025 год (далее – «Услуги») в соответствии с МСФО и МСА [97] (bd2d51e2-7338-45e8-9c63-12c01853025e)
2. Частная компания открытого инвестиционного типа Stonebridge Capital Private Equity Fund OEIC Ltd. - услуг по проведению аудита финансовой отчетности Частной компании открытого инвестиционного типа Stonebridge Capital Private Equity Fund OEIC Ltd, за 2025 год, в соответствии с МСФО и МСА. Валюта презентации финансовой отчетности – в долларах США или в тенге  [97] (72233969-ac55-4fa4-a03b-09ee53797ebe)
3. Частная компания Qazaqstan Investment Capital Management Ltd. - аудиторские услуги, включая Сопутствующие услуги, по проведению аудита отдельной финансовой отчетности Заказчика, подготовленные в соответствии с МСФО и в соответствии с перечнем, формами, утвержденными нормативным актом уполномоченного государственного органа Республики Казахстан в соответствии с Законом Республики Казахстан №234-III «О бухгалтерском учете и финансовой отчетности» по состоянию за год, заканчивающийся 31 декабря 2025 года [97] (b1e705c4-ce8d-41e1-b13c-8ff8120a7b6b)
4. Частная комапания «Kazakhstan Investment Development Fund (KIDF) Management Company»  - Аудит финансовой отчетности (далее – финансовая отчетность) «Direct Investment Fund «Kazakhstan Investment Development Fund (КIDF)» Ltd. (далее – KIDF), подготовленной в соответствии с Международными Стандартами Финансовой Отчетности (далее - МСФО) по состоянию на и за год, завершившийся 31 декабря 2025 года: [84] (63a9c971-6408-41ea-ac6c-63991b4651de)
5. Частная компания  Golden Leaves Ltd - услуг по проведению:
1.1.1. аудита консолидированной финансовой отчетности Частной компании  Golden Leaves Ltd., за 2025 год, в соответствии с МСФО и МСА. Валюта презентации финансовой отчетности – в долларах США;
1.1.2. аудита финансовой отчетности Kaz Financials SPC Limited, за 2025 год, в соответствии с МСФО и МСА. Валюта презентации финансовой отчетности – в долларах США;
1.1.3. аудита финансовой отчетности Global Fund A SPC Limited., за 2025 год, в соответствии с МСФО и МСА. Валюта презентации финансовой отчетности – в долларах США  [84] (59f4631a-a6df-475b-8543-d9405dc6206c)</x:v>
      </x:c>
      <x:c r="J32" s="32" t="str">
        <x:v>Частная компания «Quantum Capital Ltd.» - услуг по проведению аудита финансовой отчетности Частной компании Quantum Capital Ltd, за 2025 год (далее – «Услуги») в соответствии с МСФО и МСА</x:v>
      </x:c>
      <x:c r="K32" s="33" t="b">
        <x:v>1</x:v>
      </x:c>
      <x:c r="L32" s="33" t="b">
        <x:v>0</x:v>
      </x:c>
      <x:c r="M32" s="32" t="n">
        <x:v>0</x:v>
      </x:c>
      <x:c r="N32" s="32" t="n">
        <x:v>0</x:v>
      </x:c>
      <x:c r="O32" s="33" t="b">
        <x:v>0</x:v>
      </x:c>
      <x:c r="P32" s="32" t="str">
        <x:v>confirmed_applied</x:v>
      </x:c>
      <x:c r="Q32" s="32" t="str">
        <x:v>confirmed_no_action</x:v>
      </x:c>
      <x:c r="R32" s="32" t="str"/>
      <x:c r="S32" s="32" t="str"/>
      <x:c r="T32" s="32" t="str"/>
    </x:row>
    <x:row r="33" ht="42" customHeight="1">
      <x:c r="A33" s="32" t="str">
        <x:v>29</x:v>
      </x:c>
      <x:c r="B33" s="32" t="str">
        <x:v>Алайгыр</x:v>
      </x:c>
      <x:c r="C33" s="32" t="str">
        <x:v>Аудит ПФО 6м2025</x:v>
      </x:c>
      <x:c r="D33" s="32" t="n">
        <x:v>2025</x:v>
      </x:c>
      <x:c r="E33" s="32" t="str">
        <x:v>июля 2025г. - август 2025г.</x:v>
      </x:c>
      <x:c r="F33" s="32" t="str">
        <x:v>ТОО «Совместное предприятие «Алайгыр» (аудит за 2025-2029гг)</x:v>
      </x:c>
      <x:c r="G33" s="32" t="str">
        <x:v>medium</x:v>
      </x:c>
      <x:c r="H33" s="32" t="str">
        <x:v>conflict</x:v>
      </x:c>
      <x:c r="I33" s="32" t="str">
        <x:v>1. ТОО «Совместное предприятие «Алайгыр» (аудит за 2025-2029гг) [182] (af047bb7-bfa4-45a1-8cc5-994eac7d4a7b)
2. ТОО «Совместное предприятие «Алайгыр» (аудит за 2025-2029гг) [182] (8caef69e-85e7-442f-a2bc-05c2100729f7)
3. ТОО «Совместное предприятие «Алайгыр» (аудит за 2025-2029гг) [182] (138a91e7-f8bb-4439-b203-657757770ff9)
4. ТОО «Совместное предприятие «Алайгыр» (аудит за 2025-2029гг) [182] (7d47cc86-ab70-462e-a6f5-2487165ba303)
5. ТОО «Совместное предприятие «Алайгыр» (аудит за 2025-2029гг) [182] (1f84d934-c279-4b6d-8934-aa363eb4ec6d)</x:v>
      </x:c>
      <x:c r="J33" s="32" t="str">
        <x:v>ТОО «Совместное предприятие «Алайгыр» (аудит за 2025-2029гг)</x:v>
      </x:c>
      <x:c r="K33" s="33" t="b">
        <x:v>1</x:v>
      </x:c>
      <x:c r="L33" s="33" t="b">
        <x:v>1</x:v>
      </x:c>
      <x:c r="M33" s="32" t="n">
        <x:v>0</x:v>
      </x:c>
      <x:c r="N33" s="32" t="n">
        <x:v>0</x:v>
      </x:c>
      <x:c r="O33" s="33" t="b">
        <x:v>0</x:v>
      </x:c>
      <x:c r="P33" s="32" t="str">
        <x:v>confirmed_applied</x:v>
      </x:c>
      <x:c r="Q33" s="32" t="str">
        <x:v>confirmed_no_action</x:v>
      </x:c>
      <x:c r="R33" s="32" t="str"/>
      <x:c r="S33" s="32" t="str"/>
      <x:c r="T33" s="32" t="str"/>
    </x:row>
    <x:row r="34" ht="42" customHeight="1">
      <x:c r="A34" s="32" t="str">
        <x:v>30</x:v>
      </x:c>
      <x:c r="B34" s="32" t="str">
        <x:v>Шалкия Цинк</x:v>
      </x:c>
      <x:c r="C34" s="32" t="str">
        <x:v>Аудит ПФО 6м2025</x:v>
      </x:c>
      <x:c r="D34" s="32" t="n">
        <x:v>2025</x:v>
      </x:c>
      <x:c r="E34" s="32" t="str">
        <x:v>июля 2025г. - август 2025г.</x:v>
      </x:c>
      <x:c r="F34" s="32" t="str"/>
      <x:c r="G34" s="32" t="str">
        <x:v>unmatched</x:v>
      </x:c>
      <x:c r="H34" s="32" t="str">
        <x:v>conflict</x:v>
      </x:c>
      <x:c r="I34" s="32" t="str">
        <x:v>1. АО «АО «ШалкияЦинк ЛТД» (аудит за 2025-2029гг) [97] (5c119f5c-1953-4a3d-b41c-99cd8e55ff25)
2. АО «АО «ШалкияЦинк ЛТД» (аудит за 2025-2029гг) [97] (6eaad206-91a4-491d-9509-1ea722086f95)
3. АО «АО «ШалкияЦинк ЛТД» (аудит за 2025-2029гг) [97] (03eab8d5-0afd-469f-8cbe-c6994222690f)
4. АО «АО «ШалкияЦинк ЛТД» (аудит за 2025-2029гг) [97] (d8d5fef0-1708-4986-9a1d-06a60826b076)
5. АО «АО «ШалкияЦинк ЛТД» (аудит за 2025-2029гг) [97] (c99ea152-2850-4ef9-906b-98b96c8faa86)</x:v>
      </x:c>
      <x:c r="J34" s="32" t="str">
        <x:v>АО «АО «ШалкияЦинк ЛТД» (аудит за 2025-2029гг)</x:v>
      </x:c>
      <x:c r="K34" s="33" t="b">
        <x:v>0</x:v>
      </x:c>
      <x:c r="L34" s="33" t="b">
        <x:v>0</x:v>
      </x:c>
      <x:c r="M34" s="32" t="n">
        <x:v>0</x:v>
      </x:c>
      <x:c r="N34" s="32" t="n">
        <x:v>0</x:v>
      </x:c>
      <x:c r="O34" s="33" t="b">
        <x:v>0</x:v>
      </x:c>
      <x:c r="P34" s="32" t="str">
        <x:v>insufficient_evidence</x:v>
      </x:c>
      <x:c r="Q34" s="32" t="str">
        <x:v>verify_source_specific_evidence</x:v>
      </x:c>
      <x:c r="R34" s="32" t="str"/>
      <x:c r="S34" s="32" t="str"/>
      <x:c r="T34" s="32" t="str"/>
    </x:row>
    <x:row r="35" ht="42" customHeight="1">
      <x:c r="A35" s="32" t="str">
        <x:v>31</x:v>
      </x:c>
      <x:c r="B35" s="32" t="str">
        <x:v>ТауКен Алтын</x:v>
      </x:c>
      <x:c r="C35" s="32" t="str">
        <x:v>Аудит ПФО 6м2025</x:v>
      </x:c>
      <x:c r="D35" s="32" t="n">
        <x:v>2025</x:v>
      </x:c>
      <x:c r="E35" s="32" t="str">
        <x:v>июля 2025г. - август 2025г.</x:v>
      </x:c>
      <x:c r="F35" s="32" t="str"/>
      <x:c r="G35" s="32" t="str">
        <x:v>unmatched</x:v>
      </x:c>
      <x:c r="H35" s="32" t="str">
        <x:v>probable</x:v>
      </x:c>
      <x:c r="I35" s="32" t="str">
        <x:v>1. ТОО «Тау-Кен Алтын» - Аудита финансовой отчетности ТОО «Тау-Кен Алтын» по состоянию за год, заканчивающийся 31 декабря 2025 года [84] (ab5c616a-c033-4127-9e1a-6266bc1c7cde)
2. Товарищество с ограниченной ответственностью «GOLD STONE LLP (ГОЛД СТОУН ЛЛП)» - Услуги по раскрытию сведений о расходах по ЛКУ по Лицензии №180-NML от 24.12.2025 года на добычу твердых полезных ископаемых на месторождении Алтынтас в Мойынкумском районе Жамбылской области;.
Лицензии №183-NML от 24.12.2025 года на добычу твердых полезных ископаемых на месторождении Кенгир в Мойынкумском районе Жамбылской области
 [60] (c37dd7a0-9beb-49cc-a995-d5c4852ab92e)
3. АО «АК Алтыналмас» [25] (9fc76aae-5691-4f8c-9f3a-8ad55d1ee18e)
4. ТОО «Тау-Кен Алтын»  - Аудита финансовой отчетности ТОО «Тау-Кен Алтын» по состоянию за год, заканчивающийся 31 декабря 2026 года [4] (316c3297-1d1f-4325-9a1d-9b63fa8d999a)
5. ТОО «Тау-Кен Алтын»  - Аудита финансовой отчетности ТОО «Тау-Кен Алтын» по состоянию за год, заканчивающийся 31 декабря 2029 года [4] (924883ba-a673-448a-a489-d3123352eeb0)</x:v>
      </x:c>
      <x:c r="J35" s="32" t="str">
        <x:v>ТОО «Тау-Кен Алтын» - Аудита финансовой отчетности ТОО «Тау-Кен Алтын» по состоянию за год, заканчивающийся 31 декабря 2025 года</x:v>
      </x:c>
      <x:c r="K35" s="33" t="b">
        <x:v>1</x:v>
      </x:c>
      <x:c r="L35" s="33" t="b">
        <x:v>1</x:v>
      </x:c>
      <x:c r="M35" s="32" t="n">
        <x:v>0</x:v>
      </x:c>
      <x:c r="N35" s="32" t="n">
        <x:v>0</x:v>
      </x:c>
      <x:c r="O35" s="33" t="b">
        <x:v>0</x:v>
      </x:c>
      <x:c r="P35" s="32" t="str">
        <x:v>confirmed_applied</x:v>
      </x:c>
      <x:c r="Q35" s="32" t="str">
        <x:v>confirmed_no_action</x:v>
      </x:c>
      <x:c r="R35" s="32" t="str"/>
      <x:c r="S35" s="32" t="str"/>
      <x:c r="T35" s="32" t="str"/>
    </x:row>
    <x:row r="36" ht="42" customHeight="1">
      <x:c r="A36" s="32" t="str">
        <x:v>32</x:v>
      </x:c>
      <x:c r="B36" s="32" t="str">
        <x:v>ТауКен Самрук</x:v>
      </x:c>
      <x:c r="C36" s="32" t="str">
        <x:v>Аудит ПФО 6м2025</x:v>
      </x:c>
      <x:c r="D36" s="32" t="n">
        <x:v>2025</x:v>
      </x:c>
      <x:c r="E36" s="32" t="str">
        <x:v>июля 2025г. - август 2025г.</x:v>
      </x:c>
      <x:c r="F36" s="32" t="str"/>
      <x:c r="G36" s="32" t="str">
        <x:v>unmatched</x:v>
      </x:c>
      <x:c r="H36" s="32" t="str">
        <x:v>conflict</x:v>
      </x:c>
      <x:c r="I36" s="32" t="str">
        <x:v>1. АО «Национальная горнорудная компания «Тау-Кен Самрук» (аудит за 2025-2029гг) [72] (bba4e3dd-d508-418f-9c48-23ce65dbc4f9)
2. АО «Национальная горнорудная компания «Тау-Кен Самрук» (аудит за 2025-2029гг) [72] (2eb886af-107b-45b1-be4d-7fad12337505)
3. АО «Национальная горнорудная компания «Тау-Кен Самрук» (аудит за 2025-2029гг) [72] (44ca9c70-7135-43bc-bb8e-17a1f714cd77)
4. АО «Национальная горнорудная компания «Тау-Кен Самрук» (аудит за 2025-2029гг) [72] (841540c8-722a-43ef-af9d-cd1673370575)
5. АО «Национальная горнорудная компания «Тау-Кен Самрук» (аудит за 2025-2029гг) [72] (d3df9f84-f475-4589-98a5-2ee601c45114)</x:v>
      </x:c>
      <x:c r="J36" s="32" t="str">
        <x:v>АО «Национальная горнорудная компания «Тау-Кен Самрук» (аудит за 2025-2029гг)</x:v>
      </x:c>
      <x:c r="K36" s="33" t="b">
        <x:v>1</x:v>
      </x:c>
      <x:c r="L36" s="33" t="b">
        <x:v>0</x:v>
      </x:c>
      <x:c r="M36" s="32" t="n">
        <x:v>0</x:v>
      </x:c>
      <x:c r="N36" s="32" t="n">
        <x:v>0</x:v>
      </x:c>
      <x:c r="O36" s="33" t="b">
        <x:v>0</x:v>
      </x:c>
      <x:c r="P36" s="32" t="str">
        <x:v>confirmed_applied</x:v>
      </x:c>
      <x:c r="Q36" s="32" t="str">
        <x:v>confirmed_no_action</x:v>
      </x:c>
      <x:c r="R36" s="32" t="str"/>
      <x:c r="S36" s="32" t="str"/>
      <x:c r="T36" s="32" t="str"/>
    </x:row>
    <x:row r="37" ht="42" customHeight="1">
      <x:c r="A37" s="32" t="str">
        <x:v>33</x:v>
      </x:c>
      <x:c r="B37" s="32" t="str">
        <x:v>ТОО BNK Group Ltd.</x:v>
      </x:c>
      <x:c r="C37" s="32" t="str">
        <x:v>Аудит ФО 2024</x:v>
      </x:c>
      <x:c r="D37" s="32" t="n">
        <x:v>2024</x:v>
      </x:c>
      <x:c r="E37" s="32" t="str">
        <x:v>март 2025г.</x:v>
      </x:c>
      <x:c r="F37" s="32" t="str"/>
      <x:c r="G37" s="32" t="str">
        <x:v>unmatched</x:v>
      </x:c>
      <x:c r="H37" s="32" t="str">
        <x:v>conflict</x:v>
      </x:c>
      <x:c r="I37" s="32" t="str">
        <x:v>1. Частная компания EA Group Finance Ltd - услуг по проведению аудита финансовой отчетности Частной компании EA Group Finance Ltd., за 2025 год, в соответствии с МСФО и МСА. Валюта презентации финансовой отчетности – в долларах США или в тенге  [92] (1814aa5f-33ff-436e-b228-1916e7456648)
2. Частная Компания Ellington Group KAZ Ltd - оказывает услуги по проведению аудита финансовой отчетности Частной Компании Ellington Group KAZ Ltd., подготовленной в соответствии с международными стандартами финансовой отчетности за год, завершающийся 31 декабря 2025 года. Валюта презентации финансовой отчетности – тенге (согласно Приложению №1 и №2 к Договору). [92] (cfdebe19-26f6-4d30-b77e-f6d3269c84aa)
3. АО Tansar Group   - услуг по проведению аудита отдельной и консолидированной финансовой отчетности АО "Tansar Group" за период с 1 января 2025 года по 31 декабря 2025 года подготовленной в соответствии с Международными Стандартами Финансовой Отчетности  [31] (f0fc6162-8cc0-448c-a1a8-f1856fa7f06e)
4. Компания специального назначения Tolqyn SPC Ltd. - услуг по проведению аудита финансовой отчетности Компании специального назначения Tolqyn SPC Ltd, за 2025 год, в соответствии с МСФО и МСА. Валюта презентации финансовой отчетности – в долларах США или в тенге  [31] (9890ecb1-68e3-457d-acc1-060a5f1a1294)
5. Товарищество с ограниченной ответственностью Documentolog - 1.1. Заказчик поручает и оплачивает, а Исполнитель
принимает на себя обязательство по оказанию
Заказчику услуг по проведению:
1.1.1. аудита финансовой отчетности ТОО
Documentolog, за 2023-2025 годы, в соответствии с
МСФО и МСА. Валюта презентации финансовой
отчетности – в долларах США или в тенге;
1.1.2. аудита финансовой отчетности Частной
компании Documentolog Global Limited, за 2023-
2025 годы, в соответствии с МСФО и МСА. Валюта
презентации финансовой отчетности – в долларах
США или в тенге;
1.1.3. аудита финансовой отчетности Частной
компании открытого инвестиционного типа IT
Development Fund OEIC Ltd., за 2024-2025 годы, в
соответствии с МСФО и МСА. Валюта презентации
финансовой отчетности – в долларах США или в
тенге (далее – услуги/Услуги). [31] (03813a13-459e-4d7f-ac17-8e2d050faccd)</x:v>
      </x:c>
      <x:c r="J37" s="32" t="str">
        <x:v>Частная компания EA Group Finance Ltd - услуг по проведению аудита финансовой отчетности Частной компании EA Group Finance Ltd., за 2025 год, в соответствии с МСФО и МСА. Валюта презентации финансовой отчетности – в долларах США или в тенге </x:v>
      </x:c>
      <x:c r="K37" s="33" t="b">
        <x:v>0</x:v>
      </x:c>
      <x:c r="L37" s="33" t="b">
        <x:v>0</x:v>
      </x:c>
      <x:c r="M37" s="32" t="n">
        <x:v>0</x:v>
      </x:c>
      <x:c r="N37" s="32" t="n">
        <x:v>0</x:v>
      </x:c>
      <x:c r="O37" s="33" t="b">
        <x:v>0</x:v>
      </x:c>
      <x:c r="P37" s="32" t="str">
        <x:v>insufficient_evidence</x:v>
      </x:c>
      <x:c r="Q37" s="32" t="str">
        <x:v>verify_source_specific_evidence</x:v>
      </x:c>
      <x:c r="R37" s="32" t="str"/>
      <x:c r="S37" s="32" t="str"/>
      <x:c r="T37" s="32" t="str"/>
    </x:row>
    <x:row r="38" ht="42" customHeight="1">
      <x:c r="A38" s="32" t="str">
        <x:v>34</x:v>
      </x:c>
      <x:c r="B38" s="32" t="str">
        <x:v>АО Шымкент Мунай Онимдери</x:v>
      </x:c>
      <x:c r="C38" s="32" t="str">
        <x:v>Аудит ФО 2024</x:v>
      </x:c>
      <x:c r="D38" s="32" t="n">
        <x:v>2024</x:v>
      </x:c>
      <x:c r="E38" s="32" t="str">
        <x:v>апрель-май 2025г.</x:v>
      </x:c>
      <x:c r="F38" s="32" t="str"/>
      <x:c r="G38" s="32" t="str">
        <x:v>unmatched</x:v>
      </x:c>
      <x:c r="H38" s="32" t="str">
        <x:v>conflict</x:v>
      </x:c>
      <x:c r="I38" s="32" t="str">
        <x:v>1. АО Шымкент Мұнай Өнімдері (за период 2024-2026) [170] (a2ffdc64-915b-43f6-8a99-eda8e329c7f2)
2. АО Шымкент Мұнай Өнімдері (за период 2024-2026) [170] (82d9e984-dc2f-4813-9e31-012a9896ac39)
3. АО Шымкент Мұнай Өнімдері (за период 2024-2026) [170] (253d5af3-7b68-4a11-a7f8-262f923bc9f2)
4. АО Шымкент Мұнай Өнімдері (за период 2024-2026) [170] (61941d7c-7fb8-426e-acf9-fcff5c999bae)
5. АО Шымкент Мұнай Өнімдері (за период 2024-2026) [170] (cbb670f8-0863-4f06-bacb-eea31803f574)</x:v>
      </x:c>
      <x:c r="J38" s="32" t="str">
        <x:v>АО Шымкент Мұнай Өнімдері (за период 2024-2026)</x:v>
      </x:c>
      <x:c r="K38" s="33" t="b">
        <x:v>1</x:v>
      </x:c>
      <x:c r="L38" s="33" t="b">
        <x:v>1</x:v>
      </x:c>
      <x:c r="M38" s="32" t="n">
        <x:v>0</x:v>
      </x:c>
      <x:c r="N38" s="32" t="n">
        <x:v>0</x:v>
      </x:c>
      <x:c r="O38" s="33" t="b">
        <x:v>0</x:v>
      </x:c>
      <x:c r="P38" s="32" t="str">
        <x:v>confirmed_applied</x:v>
      </x:c>
      <x:c r="Q38" s="32" t="str">
        <x:v>confirmed_no_action</x:v>
      </x:c>
      <x:c r="R38" s="32" t="str"/>
      <x:c r="S38" s="32" t="str"/>
      <x:c r="T38" s="32" t="str"/>
    </x:row>
    <x:row r="39" ht="42" customHeight="1">
      <x:c r="A39" s="32" t="str">
        <x:v>35</x:v>
      </x:c>
      <x:c r="B39" s="32" t="str">
        <x:v>ТОО QazaqGaz</x:v>
      </x:c>
      <x:c r="C39" s="32" t="str">
        <x:v>Аудит ФО 2024</x:v>
      </x:c>
      <x:c r="D39" s="32" t="n">
        <x:v>2024</x:v>
      </x:c>
      <x:c r="E39" s="32" t="str">
        <x:v>февраль-март 2025г.</x:v>
      </x:c>
      <x:c r="F39" s="32" t="str">
        <x:v>ТОО «QazaqGaz Научно-технический центр» </x:v>
      </x:c>
      <x:c r="G39" s="32" t="str">
        <x:v>low</x:v>
      </x:c>
      <x:c r="H39" s="32" t="str">
        <x:v>conflict</x:v>
      </x:c>
      <x:c r="I39" s="32" t="str">
        <x:v>1. ТОО «QazaqGaz Научно-технический центр»  [135] (24207691-9a78-4659-9305-c8689a6d1430)
2. ТОО QazaqGaz Onimderi - Услуги по оценке имущества [135] (0f9a105d-2443-41d9-ba17-d6e444c1f3f8)
3. ТОО QazaqGaz Onimderi - Услуги по оценке имущества [135] (b8f901db-e8a9-4c0c-84bd-06df0d8c2a9b)
4. АО QAZAQGAZ AIMAQ [50] (fa7f0dc8-e07a-48a6-aab0-f1b6c74ae411)
5. АО QAZAQGAZ AIMAQ [50] (59e70d8a-4519-4acb-9135-abe0c9a48a83)</x:v>
      </x:c>
      <x:c r="J39" s="32" t="str">
        <x:v>ТОО «QazaqGaz Научно-технический центр» </x:v>
      </x:c>
      <x:c r="K39" s="33" t="b">
        <x:v>1</x:v>
      </x:c>
      <x:c r="L39" s="33" t="b">
        <x:v>0</x:v>
      </x:c>
      <x:c r="M39" s="32" t="n">
        <x:v>0</x:v>
      </x:c>
      <x:c r="N39" s="32" t="n">
        <x:v>0</x:v>
      </x:c>
      <x:c r="O39" s="33" t="b">
        <x:v>0</x:v>
      </x:c>
      <x:c r="P39" s="32" t="str">
        <x:v>confirmed_applied</x:v>
      </x:c>
      <x:c r="Q39" s="32" t="str">
        <x:v>confirmed_no_action</x:v>
      </x:c>
      <x:c r="R39" s="32" t="str"/>
      <x:c r="S39" s="32" t="str"/>
      <x:c r="T39" s="32" t="str"/>
    </x:row>
    <x:row r="40" ht="42" customHeight="1">
      <x:c r="A40" s="32" t="str">
        <x:v>36</x:v>
      </x:c>
      <x:c r="B40" s="32" t="str">
        <x:v>МФО Фридом финанс</x:v>
      </x:c>
      <x:c r="C40" s="32" t="str">
        <x:v>Аудит ФО 2024</x:v>
      </x:c>
      <x:c r="D40" s="32" t="n">
        <x:v>2024</x:v>
      </x:c>
      <x:c r="E40" s="32" t="str">
        <x:v>февраль-март 2025г.</x:v>
      </x:c>
      <x:c r="F40" s="32" t="str"/>
      <x:c r="G40" s="32" t="str">
        <x:v>unmatched</x:v>
      </x:c>
      <x:c r="H40" s="32" t="str">
        <x:v>probable</x:v>
      </x:c>
      <x:c r="I40" s="32" t="str">
        <x:v>1. ТОО Микрофинансовая организация InvesCore Finance - 1.1 Аудит финансовой отчетности ТОО «Микрофинансовая организация МФО InvesCore Finance» за 2025 год, подготовленной в соответствии с Международными стандартами финансовой отчетности, (далее – Услуги);
1.2	Проведение онлайн-встречи с материнской компанией (Комитет по аудиту) и возможной встречи с групповым аудитором для обсуждения аудиторского отчёта, не более 8 (восьми) часов
 [92] (56340057-1683-4513-a067-04fa7f8efe18)
2. ТОО «Микрофинансовая организация ФРИДОМ ФИНАНС Кредит» [45] (ee88c6d0-e1ea-4846-b6fb-3170a48358ea)
3. ТОО «Микрофинансовая организация ФРИДОМ ФИНАНС Кредит» [45] (032b04c9-9678-40d2-86bf-c455bc016052)
4. ТОО «Микрофинансовая организация ФРИДОМ ФИНАНС Кредит» [45] (7015ffaa-0792-4265-aa01-53efd5423c31)
5. ТОО «Микрофинансовая организация ФРИДОМ ФИНАНС Кредит» [45] (a8236f99-0df1-4c9a-b537-a017f40e279f)</x:v>
      </x:c>
      <x:c r="J40" s="32" t="str">
        <x:v>ТОО Микрофинансовая организация InvesCore Finance - 1.1 Аудит финансовой отчетности ТОО «Микрофинансовая организация МФО InvesCore Finance» за 2025 год, подготовленной в соответствии с Международными стандартами финансовой отчетности, (далее – Услуги);
1.2	Проведение онлайн-встречи с материнской компанией (Комитет по аудиту) и возможной встречи с групповым аудитором для обсуждения аудиторского отчёта, не более 8 (восьми) часов
</x:v>
      </x:c>
      <x:c r="K40" s="33" t="b">
        <x:v>0</x:v>
      </x:c>
      <x:c r="L40" s="33" t="b">
        <x:v>0</x:v>
      </x:c>
      <x:c r="M40" s="32" t="n">
        <x:v>0</x:v>
      </x:c>
      <x:c r="N40" s="32" t="n">
        <x:v>0</x:v>
      </x:c>
      <x:c r="O40" s="33" t="b">
        <x:v>0</x:v>
      </x:c>
      <x:c r="P40" s="32" t="str">
        <x:v>insufficient_evidence</x:v>
      </x:c>
      <x:c r="Q40" s="32" t="str">
        <x:v>verify_source_specific_evidence</x:v>
      </x:c>
      <x:c r="R40" s="32" t="str"/>
      <x:c r="S40" s="32" t="str"/>
      <x:c r="T40" s="32" t="str"/>
    </x:row>
    <x:row r="41" ht="42" customHeight="1">
      <x:c r="A41" s="32" t="str">
        <x:v>37</x:v>
      </x:c>
      <x:c r="B41" s="32" t="str">
        <x:v>Аэропорт Шымкент</x:v>
      </x:c>
      <x:c r="C41" s="32" t="str">
        <x:v>Аудит ФО 2024</x:v>
      </x:c>
      <x:c r="D41" s="32" t="n">
        <x:v>2024</x:v>
      </x:c>
      <x:c r="E41" s="32" t="str">
        <x:v>апрель-май 2025г.</x:v>
      </x:c>
      <x:c r="F41" s="32" t="str">
        <x:v>Акционерное общество "Аэропорт Шымкент" - Услуги по проведению аудита финансовой отчетности</x:v>
      </x:c>
      <x:c r="G41" s="32" t="str">
        <x:v>low</x:v>
      </x:c>
      <x:c r="H41" s="32" t="str">
        <x:v>exact</x:v>
      </x:c>
      <x:c r="I41" s="32" t="str">
        <x:v>1. Акционерное общество "Аэропорт Шымкент" - Услуги по проведению аудита финансовой отчетности [159] (c4918675-722f-4082-92f2-f0bbc58d23e0)
2. АО Аэропорт Шымкент [135] (be9f9cca-5284-4abd-b5ef-157bfbb5af59)
3. АО Шымкентмай - услуг по проведению аудита финансовой отчетности АО «Шымкент Май» за период с 1 января 2025 года по 31 декабря 2025 года, подготовленной в соответствии с Международными Стандартами Финансовой Отчетности  [84] (19a1559b-f468-48a5-afc5-61c502f22cba)
4. АО Шымкент Мұнай Өнімдері (за период 2024-2026) [60] (a2ffdc64-915b-43f6-8a99-eda8e329c7f2)
5. АО Шымкент Мұнай Өнімдері (за период 2024-2026) [60] (82d9e984-dc2f-4813-9e31-012a9896ac39)</x:v>
      </x:c>
      <x:c r="J41" s="32" t="str">
        <x:v>Акционерное общество "Аэропорт Шымкент" - Услуги по проведению аудита финансовой отчетности</x:v>
      </x:c>
      <x:c r="K41" s="33" t="b">
        <x:v>1</x:v>
      </x:c>
      <x:c r="L41" s="33" t="b">
        <x:v>1</x:v>
      </x:c>
      <x:c r="M41" s="32" t="n">
        <x:v>0</x:v>
      </x:c>
      <x:c r="N41" s="32" t="n">
        <x:v>0</x:v>
      </x:c>
      <x:c r="O41" s="33" t="b">
        <x:v>0</x:v>
      </x:c>
      <x:c r="P41" s="32" t="str">
        <x:v>confirmed_applied</x:v>
      </x:c>
      <x:c r="Q41" s="32" t="str">
        <x:v>confirmed_no_action</x:v>
      </x:c>
      <x:c r="R41" s="32" t="str"/>
      <x:c r="S41" s="32" t="str"/>
      <x:c r="T41" s="32" t="str"/>
    </x:row>
    <x:row r="42" ht="42" customHeight="1">
      <x:c r="A42" s="32" t="str">
        <x:v>38</x:v>
      </x:c>
      <x:c r="B42" s="32" t="str">
        <x:v>БОЗОЙ</x:v>
      </x:c>
      <x:c r="C42" s="32" t="str">
        <x:v>Аудит ФО 2024</x:v>
      </x:c>
      <x:c r="D42" s="32" t="n">
        <x:v>2024</x:v>
      </x:c>
      <x:c r="E42" s="32" t="str">
        <x:v>апрель-май 2025г.</x:v>
      </x:c>
      <x:c r="F42" s="32" t="str"/>
      <x:c r="G42" s="32" t="str">
        <x:v>unmatched</x:v>
      </x:c>
      <x:c r="H42" s="32" t="str">
        <x:v>not_found</x:v>
      </x:c>
      <x:c r="I42" s="32" t="str"/>
      <x:c r="J42" s="32" t="str"/>
      <x:c r="K42" s="33" t="b">
        <x:v>0</x:v>
      </x:c>
      <x:c r="L42" s="33" t="b">
        <x:v>0</x:v>
      </x:c>
      <x:c r="M42" s="32" t="n">
        <x:v>0</x:v>
      </x:c>
      <x:c r="N42" s="32" t="n">
        <x:v>0</x:v>
      </x:c>
      <x:c r="O42" s="33" t="b">
        <x:v>1</x:v>
      </x:c>
      <x:c r="P42" s="32" t="str">
        <x:v>needs_project_match</x:v>
      </x:c>
      <x:c r="Q42" s="32" t="str">
        <x:v>review_create_or_match</x:v>
      </x:c>
      <x:c r="R42" s="32" t="str"/>
      <x:c r="S42" s="32" t="str"/>
      <x:c r="T42" s="32" t="str"/>
    </x:row>
    <x:row r="43" ht="42" customHeight="1">
      <x:c r="A43" s="32" t="str">
        <x:v>39</x:v>
      </x:c>
      <x:c r="B43" s="32" t="str">
        <x:v>Агромашхолдинг</x:v>
      </x:c>
      <x:c r="C43" s="32" t="str">
        <x:v>Аудит ФО 2024</x:v>
      </x:c>
      <x:c r="D43" s="32" t="n">
        <x:v>2024</x:v>
      </x:c>
      <x:c r="E43" s="32" t="str">
        <x:v>апрель-май 2025г.</x:v>
      </x:c>
      <x:c r="F43" s="32" t="str">
        <x:v>АО Агромашхолдинг KZ</x:v>
      </x:c>
      <x:c r="G43" s="32" t="str">
        <x:v>low</x:v>
      </x:c>
      <x:c r="H43" s="32" t="str">
        <x:v>exact</x:v>
      </x:c>
      <x:c r="I43" s="32" t="str">
        <x:v>1. АО Агромашхолдинг KZ - услуг по проведению аудита финансовой отчетности АО «Агромашхолдинг KZ» за период с 1 января 2025 года по 31 декабря 2025 года, подготовленной в соответствии с Международными Стандартами Финансовой Отчетности  [194] (4f9d5109-ac01-4dc2-9396-287ce70a4237)
2. АО Агромашхолдинг KZ - услуг по проведению аудита специального назначения за 2025 год [182] (33f8eb89-bf94-40da-b417-61ea6f0b27e3)
3. АО Агромашхолдинг KZ [135] (0c45862b-5669-411d-94db-9f051adddba0)</x:v>
      </x:c>
      <x:c r="J43" s="32" t="str">
        <x:v>АО Агромашхолдинг KZ - услуг по проведению аудита финансовой отчетности АО «Агромашхолдинг KZ» за период с 1 января 2025 года по 31 декабря 2025 года, подготовленной в соответствии с Международными Стандартами Финансовой Отчетности </x:v>
      </x:c>
      <x:c r="K43" s="33" t="b">
        <x:v>1</x:v>
      </x:c>
      <x:c r="L43" s="33" t="b">
        <x:v>0</x:v>
      </x:c>
      <x:c r="M43" s="32" t="n">
        <x:v>0</x:v>
      </x:c>
      <x:c r="N43" s="32" t="n">
        <x:v>0</x:v>
      </x:c>
      <x:c r="O43" s="33" t="b">
        <x:v>0</x:v>
      </x:c>
      <x:c r="P43" s="32" t="str">
        <x:v>confirmed_applied</x:v>
      </x:c>
      <x:c r="Q43" s="32" t="str">
        <x:v>confirmed_no_action</x:v>
      </x:c>
      <x:c r="R43" s="32" t="str"/>
      <x:c r="S43" s="32" t="str"/>
      <x:c r="T43" s="32" t="str"/>
    </x:row>
    <x:row r="44" ht="42" customHeight="1">
      <x:c r="A44" s="32" t="str">
        <x:v>40</x:v>
      </x:c>
      <x:c r="B44" s="32" t="str">
        <x:v>АО КТК</x:v>
      </x:c>
      <x:c r="C44" s="32" t="str">
        <x:v>Аудит ФО 2024</x:v>
      </x:c>
      <x:c r="D44" s="32" t="n">
        <x:v>2024</x:v>
      </x:c>
      <x:c r="E44" s="32" t="str">
        <x:v>март-апрель 2025г.</x:v>
      </x:c>
      <x:c r="F44" s="32" t="str"/>
      <x:c r="G44" s="32" t="str">
        <x:v>unmatched</x:v>
      </x:c>
      <x:c r="H44" s="32" t="str">
        <x:v>not_found</x:v>
      </x:c>
      <x:c r="I44" s="32" t="str"/>
      <x:c r="J44" s="32" t="str"/>
      <x:c r="K44" s="33" t="b">
        <x:v>0</x:v>
      </x:c>
      <x:c r="L44" s="33" t="b">
        <x:v>0</x:v>
      </x:c>
      <x:c r="M44" s="32" t="n">
        <x:v>0</x:v>
      </x:c>
      <x:c r="N44" s="32" t="n">
        <x:v>0</x:v>
      </x:c>
      <x:c r="O44" s="33" t="b">
        <x:v>1</x:v>
      </x:c>
      <x:c r="P44" s="32" t="str">
        <x:v>needs_project_match</x:v>
      </x:c>
      <x:c r="Q44" s="32" t="str">
        <x:v>review_create_or_match</x:v>
      </x:c>
      <x:c r="R44" s="32" t="str"/>
      <x:c r="S44" s="32" t="str"/>
      <x:c r="T44" s="32" t="str"/>
    </x:row>
    <x:row r="45" ht="42" customHeight="1">
      <x:c r="A45" s="32" t="str">
        <x:v>41</x:v>
      </x:c>
      <x:c r="B45" s="32" t="str">
        <x:v>Вива Фарм</x:v>
      </x:c>
      <x:c r="C45" s="32" t="str">
        <x:v>Аудит ФО 2024</x:v>
      </x:c>
      <x:c r="D45" s="32" t="n">
        <x:v>2024</x:v>
      </x:c>
      <x:c r="E45" s="32" t="str">
        <x:v>май-июнь 2025г.</x:v>
      </x:c>
      <x:c r="F45" s="32" t="str">
        <x:v>ТОО ВИВА ФАРМ - 1.1. Заказчик поручает и оплачивает, а Исполнитель принимает на себя обязательство по оказанию Заказчику услуг:
1.1.1. по проведению аудита отдельной и консолидированной финансовой отчетности ТОО «ВиваФарм» за 2025 год, подготовленной в соответствии с Международными Стандартами Финансовой Отчетности (МСФО);
1.1.2. по проведению аудита налоговой отчетности ТОО «ВиваФарм» за 2025 год (далее – услуги) (далее – услуги).
</x:v>
      </x:c>
      <x:c r="G45" s="32" t="str">
        <x:v>low</x:v>
      </x:c>
      <x:c r="H45" s="32" t="str">
        <x:v>exact</x:v>
      </x:c>
      <x:c r="I45" s="32" t="str">
        <x:v>1. ТОО ВИВА ФАРМ - 1.1. Заказчик поручает и оплачивает, а Исполнитель принимает на себя обязательство по оказанию Заказчику услуг:
1.1.1. по проведению аудита отдельной и консолидированной финансовой отчетности ТОО «ВиваФарм» за 2025 год, подготовленной в соответствии с Международными Стандартами Финансовой Отчетности (МСФО);
1.1.2. по проведению аудита налоговой отчетности ТОО «ВиваФарм» за 2025 год (далее – услуги) (далее – услуги).
 [194] (bebbfd37-96b4-4e6a-91d9-ae1aea5646b2)
2. ТОО Вива Фарм [135] (68d45fd8-287d-4e55-bbc3-6dbcc8408ffb)
3. ТОО Вива Фарм [135] (c07c7e8f-df8f-4432-8e3f-02426fbf4edf)
4. ТОО СК-Фармация [25] (1c4126ee-4bfb-4004-b190-2fc1b1e05910)
5. ТОО Фармаком [25] (53fe6de2-484d-4bff-84fd-94d7a99001e3)</x:v>
      </x:c>
      <x:c r="J45" s="32" t="str">
        <x:v>ТОО ВИВА ФАРМ - 1.1. Заказчик поручает и оплачивает, а Исполнитель принимает на себя обязательство по оказанию Заказчику услуг:
1.1.1. по проведению аудита отдельной и консолидированной финансовой отчетности ТОО «ВиваФарм» за 2025 год, подготовленной в соответствии с Международными Стандартами Финансовой Отчетности (МСФО);
1.1.2. по проведению аудита налоговой отчетности ТОО «ВиваФарм» за 2025 год (далее – услуги) (далее – услуги).
</x:v>
      </x:c>
      <x:c r="K45" s="33" t="b">
        <x:v>0</x:v>
      </x:c>
      <x:c r="L45" s="33" t="b">
        <x:v>0</x:v>
      </x:c>
      <x:c r="M45" s="32" t="n">
        <x:v>0</x:v>
      </x:c>
      <x:c r="N45" s="32" t="n">
        <x:v>0</x:v>
      </x:c>
      <x:c r="O45" s="33" t="b">
        <x:v>0</x:v>
      </x:c>
      <x:c r="P45" s="32" t="str">
        <x:v>insufficient_evidence</x:v>
      </x:c>
      <x:c r="Q45" s="32" t="str">
        <x:v>verify_source_specific_evidence</x:v>
      </x:c>
      <x:c r="R45" s="32" t="str"/>
      <x:c r="S45" s="32" t="str"/>
      <x:c r="T45" s="32" t="str"/>
    </x:row>
    <x:row r="46" ht="42" customHeight="1">
      <x:c r="A46" s="32" t="str">
        <x:v>42</x:v>
      </x:c>
      <x:c r="B46" s="32" t="str">
        <x:v>Кен Сары</x:v>
      </x:c>
      <x:c r="C46" s="32" t="str">
        <x:v>Аудит ФО 2024</x:v>
      </x:c>
      <x:c r="D46" s="32" t="n">
        <x:v>2024</x:v>
      </x:c>
      <x:c r="E46" s="32" t="str">
        <x:v>июль-август 2025г.</x:v>
      </x:c>
      <x:c r="F46" s="32" t="str">
        <x:v>ТОО Кен-Сары</x:v>
      </x:c>
      <x:c r="G46" s="32" t="str">
        <x:v>low</x:v>
      </x:c>
      <x:c r="H46" s="32" t="str">
        <x:v>exact</x:v>
      </x:c>
      <x:c r="I46" s="32" t="str">
        <x:v>1. ТОО Кен-Сары [135] (94966a83-7644-4342-b289-e5721b7eb720)
2. АО Шымкентмай - услуг по проведению аудита финансовой отчетности АО «Шымкент Май» за период с 1 января 2025 года по 31 декабря 2025 года, подготовленной в соответствии с Международными Стандартами Финансовой Отчетности  [84] (19a1559b-f468-48a5-afc5-61c502f22cba)
3. ТОО «Тау-Кен Алтын» - Аудита финансовой отчетности ТОО «Тау-Кен Алтын» по состоянию за год, заканчивающийся 31 декабря 2025 года [84] (ab5c616a-c033-4127-9e1a-6266bc1c7cde)
4. АО «Национальная горнорудная компания «Тау-Кен Самрук» (аудит за 2025-2029гг) [72] (bba4e3dd-d508-418f-9c48-23ce65dbc4f9)
5. АО «Национальная горнорудная компания «Тау-Кен Самрук» (аудит за 2025-2029гг) [72] (2eb886af-107b-45b1-be4d-7fad12337505)</x:v>
      </x:c>
      <x:c r="J46" s="32" t="str">
        <x:v>ТОО Кен-Сары</x:v>
      </x:c>
      <x:c r="K46" s="33" t="b">
        <x:v>1</x:v>
      </x:c>
      <x:c r="L46" s="33" t="b">
        <x:v>1</x:v>
      </x:c>
      <x:c r="M46" s="32" t="n">
        <x:v>58</x:v>
      </x:c>
      <x:c r="N46" s="32" t="n">
        <x:v>464</x:v>
      </x:c>
      <x:c r="O46" s="33" t="b">
        <x:v>0</x:v>
      </x:c>
      <x:c r="P46" s="32" t="str">
        <x:v>confirmed_applied</x:v>
      </x:c>
      <x:c r="Q46" s="32" t="str">
        <x:v>confirmed_no_action</x:v>
      </x:c>
      <x:c r="R46" s="32" t="str"/>
      <x:c r="S46" s="32" t="str"/>
      <x:c r="T46" s="32" t="str"/>
    </x:row>
    <x:row r="47" ht="42" customHeight="1">
      <x:c r="A47" s="32" t="str">
        <x:v>43</x:v>
      </x:c>
      <x:c r="B47" s="32" t="str">
        <x:v>Мирбуш</x:v>
      </x:c>
      <x:c r="C47" s="32" t="str">
        <x:v>Аудит ФО 2024</x:v>
      </x:c>
      <x:c r="D47" s="32" t="n">
        <x:v>2024</x:v>
      </x:c>
      <x:c r="E47" s="32" t="str">
        <x:v>июль-август 2025г.</x:v>
      </x:c>
      <x:c r="F47" s="32" t="str"/>
      <x:c r="G47" s="32" t="str">
        <x:v>unmatched</x:v>
      </x:c>
      <x:c r="H47" s="32" t="str">
        <x:v>not_found</x:v>
      </x:c>
      <x:c r="I47" s="32" t="str"/>
      <x:c r="J47" s="32" t="str"/>
      <x:c r="K47" s="33" t="b">
        <x:v>0</x:v>
      </x:c>
      <x:c r="L47" s="33" t="b">
        <x:v>0</x:v>
      </x:c>
      <x:c r="M47" s="32" t="n">
        <x:v>0</x:v>
      </x:c>
      <x:c r="N47" s="32" t="n">
        <x:v>0</x:v>
      </x:c>
      <x:c r="O47" s="33" t="b">
        <x:v>1</x:v>
      </x:c>
      <x:c r="P47" s="32" t="str">
        <x:v>needs_project_match</x:v>
      </x:c>
      <x:c r="Q47" s="32" t="str">
        <x:v>review_create_or_match</x:v>
      </x:c>
      <x:c r="R47" s="32" t="str"/>
      <x:c r="S47" s="32" t="str"/>
      <x:c r="T47" s="32" t="str"/>
    </x:row>
    <x:row r="48" ht="42" customHeight="1">
      <x:c r="A48" s="32" t="str">
        <x:v>44</x:v>
      </x:c>
      <x:c r="B48" s="32" t="str">
        <x:v>PS Vostok Trade</x:v>
      </x:c>
      <x:c r="C48" s="32" t="str">
        <x:v>Аудит ФО 2024</x:v>
      </x:c>
      <x:c r="D48" s="32" t="n">
        <x:v>2024</x:v>
      </x:c>
      <x:c r="E48" s="32" t="str">
        <x:v>август 2025г.</x:v>
      </x:c>
      <x:c r="F48" s="32" t="str">
        <x:v>ТОО «PS Vostok Trade» (ПС Восток Трейд)» </x:v>
      </x:c>
      <x:c r="G48" s="32" t="str">
        <x:v>low</x:v>
      </x:c>
      <x:c r="H48" s="32" t="str">
        <x:v>exact</x:v>
      </x:c>
      <x:c r="I48" s="32" t="str">
        <x:v>1. ТОО «PS Vostok Trade» (ПС Восток Трейд)»  [135] (52c8f7f1-6d6c-4d0b-bfe2-c69070729680)
2. Частная компания Capstone Development Ltd. - услуг по проведению аудита финансовой отчетности Частной компании Capstone Development Ltd., за период с 01 января по 31 декабря 2025 года в соответствии с МСФО и МСА [31] (e8b01515-3e75-478f-abdf-f30597d0638f)</x:v>
      </x:c>
      <x:c r="J48" s="32" t="str">
        <x:v>ТОО «PS Vostok Trade» (ПС Восток Трейд)» </x:v>
      </x:c>
      <x:c r="K48" s="33" t="b">
        <x:v>1</x:v>
      </x:c>
      <x:c r="L48" s="33" t="b">
        <x:v>1</x:v>
      </x:c>
      <x:c r="M48" s="32" t="n">
        <x:v>8</x:v>
      </x:c>
      <x:c r="N48" s="32" t="n">
        <x:v>64</x:v>
      </x:c>
      <x:c r="O48" s="33" t="b">
        <x:v>0</x:v>
      </x:c>
      <x:c r="P48" s="32" t="str">
        <x:v>confirmed_applied</x:v>
      </x:c>
      <x:c r="Q48" s="32" t="str">
        <x:v>confirmed_no_action</x:v>
      </x:c>
      <x:c r="R48" s="32" t="str"/>
      <x:c r="S48" s="32" t="str"/>
      <x:c r="T48" s="32" t="str"/>
    </x:row>
    <x:row r="49" ht="42" customHeight="1">
      <x:c r="A49" s="32" t="str">
        <x:v>45</x:v>
      </x:c>
      <x:c r="B49" s="32" t="str">
        <x:v>Терезе строительная компания</x:v>
      </x:c>
      <x:c r="C49" s="32" t="str">
        <x:v>Аудит ФО 2024</x:v>
      </x:c>
      <x:c r="D49" s="32" t="n">
        <x:v>2024</x:v>
      </x:c>
      <x:c r="E49" s="32" t="str">
        <x:v>сентябрь 2025г.</x:v>
      </x:c>
      <x:c r="F49" s="32" t="str"/>
      <x:c r="G49" s="32" t="str">
        <x:v>unmatched</x:v>
      </x:c>
      <x:c r="H49" s="32" t="str">
        <x:v>probable</x:v>
      </x:c>
      <x:c r="I49" s="32" t="str">
        <x:v>1. ТОО «Консолидированная Строительная Горнорудная Компания» - услуг по проведению аудита финансовой отчетности ТОО «Консолидированная Строительная Горнорудная Компания» за 2025 год, подготовленной в соответствии с Международными Стандартами Финансовой Отчетности (МСФО)  [84] (cfd3b502-9253-4dba-96ba-b43f5f399aa7)
2. ТОО «Консолидированная Строительная Горнорудная Компания» [25] (26d3b3fb-b7c3-4ca5-8360-a342f4ef5682)
3. ТОО ТЕРЕЗЕ [25] (47d5e4a6-7c0d-46cf-ba64-cd04865b4b0b)</x:v>
      </x:c>
      <x:c r="J49" s="32" t="str">
        <x:v>ТОО «Консолидированная Строительная Горнорудная Компания» - услуг по проведению аудита финансовой отчетности ТОО «Консолидированная Строительная Горнорудная Компания» за 2025 год, подготовленной в соответствии с Международными Стандартами Финансовой Отчетности (МСФО) </x:v>
      </x:c>
      <x:c r="K49" s="33" t="b">
        <x:v>0</x:v>
      </x:c>
      <x:c r="L49" s="33" t="b">
        <x:v>0</x:v>
      </x:c>
      <x:c r="M49" s="32" t="n">
        <x:v>0</x:v>
      </x:c>
      <x:c r="N49" s="32" t="n">
        <x:v>0</x:v>
      </x:c>
      <x:c r="O49" s="33" t="b">
        <x:v>0</x:v>
      </x:c>
      <x:c r="P49" s="32" t="str">
        <x:v>insufficient_evidence</x:v>
      </x:c>
      <x:c r="Q49" s="32" t="str">
        <x:v>verify_source_specific_evidence</x:v>
      </x:c>
      <x:c r="R49" s="32" t="str"/>
      <x:c r="S49" s="32" t="str"/>
      <x:c r="T49" s="32" t="str"/>
    </x:row>
    <x:row r="50" ht="42" customHeight="1">
      <x:c r="A50" s="32" t="str">
        <x:v>46</x:v>
      </x:c>
      <x:c r="B50" s="32" t="str">
        <x:v>KAZ INTEL</x:v>
      </x:c>
      <x:c r="C50" s="32" t="str">
        <x:v>Аудит ФО 2024</x:v>
      </x:c>
      <x:c r="D50" s="32" t="n">
        <x:v>2024</x:v>
      </x:c>
      <x:c r="E50" s="32" t="str">
        <x:v>сентябрь 2025г.</x:v>
      </x:c>
      <x:c r="F50" s="32" t="str">
        <x:v>ТОО KAZ Intel Group</x:v>
      </x:c>
      <x:c r="G50" s="32" t="str">
        <x:v>low</x:v>
      </x:c>
      <x:c r="H50" s="32" t="str">
        <x:v>exact</x:v>
      </x:c>
      <x:c r="I50" s="32" t="str">
        <x:v>1. ТОО KAZ Intel Group [135] (ffdd44e0-a99d-4c1f-bd34-0ecc95b6ef5b)
2. ТОО ««KONE KAZAKHSTAN» (КОНЕ КАЗАХСТАН) - 1.1.	Заказчик поручает и оплачивает, а Исполнитель принимает на себя обязательство по оказанию Заказчику:
1.1.1. услуг по проведению аудита финансовой отчетности за период с 01 января по 31 декабря 2025 года;
1.1.2. услуг по проведению аудита налоговой отчетности за период с 01 января по 31 декабря 2025 года 
 [84] (cd306c54-a258-4d84-9268-6f9f53b490dd)
3. ТОО Kumho Tire Kazakhstan (Кумхо Тайер Казахстан) - услуги по проведению аудита финансовой отчетности за 2025 год [84] (9715a892-388b-4f64-806e-816291f06818)
4. Частная комапания «Kazakhstan Investment Development Fund (KIDF) Management Company»  - Аудит финансовой отчетности (далее – финансовая отчетность) «Direct Investment Fund «Kazakhstan Investment Development Fund (КIDF)» Ltd. (далее – KIDF), подготовленной в соответствии с Международными Стандартами Финансовой Отчетности (далее - МСФО) по состоянию на и за год, завершившийся 31 декабря 2025 года: [84] (63a9c971-6408-41ea-ac6c-63991b4651de)
5. Частная компания  Golden Leaves Ltd - услуг по проведению:
1.1.1. аудита консолидированной финансовой отчетности Частной компании  Golden Leaves Ltd., за 2025 год, в соответствии с МСФО и МСА. Валюта презентации финансовой отчетности – в долларах США;
1.1.2. аудита финансовой отчетности Kaz Financials SPC Limited, за 2025 год, в соответствии с МСФО и МСА. Валюта презентации финансовой отчетности – в долларах США;
1.1.3. аудита финансовой отчетности Global Fund A SPC Limited., за 2025 год, в соответствии с МСФО и МСА. Валюта презентации финансовой отчетности – в долларах США  [84] (59f4631a-a6df-475b-8543-d9405dc6206c)</x:v>
      </x:c>
      <x:c r="J50" s="32" t="str">
        <x:v>ТОО KAZ Intel Group</x:v>
      </x:c>
      <x:c r="K50" s="33" t="b">
        <x:v>1</x:v>
      </x:c>
      <x:c r="L50" s="33" t="b">
        <x:v>1</x:v>
      </x:c>
      <x:c r="M50" s="32" t="n">
        <x:v>74</x:v>
      </x:c>
      <x:c r="N50" s="32" t="n">
        <x:v>592</x:v>
      </x:c>
      <x:c r="O50" s="33" t="b">
        <x:v>0</x:v>
      </x:c>
      <x:c r="P50" s="32" t="str">
        <x:v>confirmed_applied</x:v>
      </x:c>
      <x:c r="Q50" s="32" t="str">
        <x:v>confirmed_no_action</x:v>
      </x:c>
      <x:c r="R50" s="32" t="str"/>
      <x:c r="S50" s="32" t="str"/>
      <x:c r="T50" s="32" t="str"/>
    </x:row>
    <x:row r="51" ht="42" customHeight="1">
      <x:c r="A51" s="32" t="str">
        <x:v>47</x:v>
      </x:c>
      <x:c r="B51" s="32" t="str">
        <x:v>АО Tansar Capital</x:v>
      </x:c>
      <x:c r="C51" s="32" t="str">
        <x:v>Аудит ФО 2024</x:v>
      </x:c>
      <x:c r="D51" s="32" t="n">
        <x:v>2024</x:v>
      </x:c>
      <x:c r="E51" s="32" t="str">
        <x:v>март-апрель 2025г.</x:v>
      </x:c>
      <x:c r="F51" s="32" t="str">
        <x:v>АО Tansar Capital  от Тримовой Сауле</x:v>
      </x:c>
      <x:c r="G51" s="32" t="str">
        <x:v>low</x:v>
      </x:c>
      <x:c r="H51" s="32" t="str">
        <x:v>exact</x:v>
      </x:c>
      <x:c r="I51" s="32" t="str">
        <x:v>1. АО Tansar Capital  от Тримовой Сауле [135] (e0d5885d-7a20-4493-975e-f5461a83de42)
2. AO Tansar Capital  - Услуг по проведению аудита финансовой отчетности Акционерное общество "Tansar Capital" за период с 1 января 2025 года по 31 декабря 2025 года, подготовленной в соответствии с Международными Стандартами Финансовой Отчетности  [109] (27750c7a-c623-434d-9605-0666c73e02ac)
3. Акционерное общество «Amaranth Capital» - услуг по проведению аудита финансовой отчетности АО «Amaranth Capital» за период с 1 января 2025 года по 31 декабря 2025 года, подготовленной в соответствии с Международными Стандартами Финансовой Отчетности  [84] (646d721c-fc3f-414c-9853-cef1cce8ef47)
4. АО Tansar Group   - услуг по проведению аудита отдельной и консолидированной финансовой отчетности АО "Tansar Group" за период с 1 января 2025 года по 31 декабря 2025 года подготовленной в соответствии с Международными Стандартами Финансовой Отчетности  [84] (f0fc6162-8cc0-448c-a1a8-f1856fa7f06e)
5. Партнерство с ограниченной ответственностью Stonehedge Vitis Capital - услуг по проведению аудита финансовой отчетности Партнерства с ограниченной ответственностью Stonehedge Vitis Capital, за 2025 год, в соответствии с МСФО и МСА. Валюта презентации финансовой отчетности – в долларах США или в тенге  [84] (d154fb4b-49c6-4b58-b5c7-ba64d3d3f9e8)</x:v>
      </x:c>
      <x:c r="J51" s="32" t="str">
        <x:v>АО Tansar Capital  от Тримовой Сауле</x:v>
      </x:c>
      <x:c r="K51" s="33" t="b">
        <x:v>1</x:v>
      </x:c>
      <x:c r="L51" s="33" t="b">
        <x:v>1</x:v>
      </x:c>
      <x:c r="M51" s="32" t="n">
        <x:v>0</x:v>
      </x:c>
      <x:c r="N51" s="32" t="n">
        <x:v>0</x:v>
      </x:c>
      <x:c r="O51" s="33" t="b">
        <x:v>0</x:v>
      </x:c>
      <x:c r="P51" s="32" t="str">
        <x:v>confirmed_applied</x:v>
      </x:c>
      <x:c r="Q51" s="32" t="str">
        <x:v>confirmed_no_action</x:v>
      </x:c>
      <x:c r="R51" s="32" t="str"/>
      <x:c r="S51" s="32" t="str"/>
      <x:c r="T51" s="32" t="str"/>
    </x:row>
    <x:row r="52" ht="42" customHeight="1">
      <x:c r="A52" s="32" t="str">
        <x:v>48</x:v>
      </x:c>
      <x:c r="B52" s="32" t="str">
        <x:v>Мой страховой брокер</x:v>
      </x:c>
      <x:c r="C52" s="32" t="str">
        <x:v>Аудит ФО 2024</x:v>
      </x:c>
      <x:c r="D52" s="32" t="n">
        <x:v>2024</x:v>
      </x:c>
      <x:c r="E52" s="32" t="str">
        <x:v>март-апрель 2025г.</x:v>
      </x:c>
      <x:c r="F52" s="32" t="str">
        <x:v>ТОО MOI (МОЙ) страховой брокер от Тримовой Сауле</x:v>
      </x:c>
      <x:c r="G52" s="32" t="str">
        <x:v>low</x:v>
      </x:c>
      <x:c r="H52" s="32" t="str">
        <x:v>exact</x:v>
      </x:c>
      <x:c r="I52" s="32" t="str">
        <x:v>1. ТОО "MOI (МОЙ) страховой брокер" - услуг по проведению аудита отдельной и консолидированной финансовой отчетности ТОО "MOI  (МОЙ )страховой брокер" за период с 1 января 2025 года по 31 декабря 2025 года, подготовленной в соответствии с Международными Стандартами Финансовой Отчетности.  [194] (578bfc96-b4ca-4261-aac3-2e56ac66b884)
2. ТОО MOI (МОЙ) страховой брокер от Тримовой Сауле [135] (70306fd4-3a56-423a-ab86-5ba7b88737c0)
3. ТОО «Коммерческий банк «Страховой брокер Уиллис Тауэрс Уатсон (Казахстан)» [33] (9188bb02-121c-4e9a-8feb-7eb5da4fa931)
4. ТОО «Коммерческий банк «Страховой брокер Уиллис Тауэрс Уатсон (Казахстан)» [33] (78a385af-a75c-433f-8ae5-42badeec1122)
5. ТОО «Тойота Иншуранс Менеджмент (страховые брокеры)»  - услуг по проведению аудита отдельной и консолидированной финансовой отчетности ТОО «Тойота Иншуранс Менеджмент (страховые брокеры)» за 2025 год, подготовленной в соответствии с Международными Стандартами Финансовой Отчетности (МСФО ) [31] (05ac74d7-4693-4217-a0dd-af00de6de1a2)</x:v>
      </x:c>
      <x:c r="J52" s="32" t="str">
        <x:v>ТОО "MOI (МОЙ) страховой брокер" - услуг по проведению аудита отдельной и консолидированной финансовой отчетности ТОО "MOI  (МОЙ )страховой брокер" за период с 1 января 2025 года по 31 декабря 2025 года, подготовленной в соответствии с Международными Стандартами Финансовой Отчетности. </x:v>
      </x:c>
      <x:c r="K52" s="33" t="b">
        <x:v>1</x:v>
      </x:c>
      <x:c r="L52" s="33" t="b">
        <x:v>0</x:v>
      </x:c>
      <x:c r="M52" s="32" t="n">
        <x:v>0</x:v>
      </x:c>
      <x:c r="N52" s="32" t="n">
        <x:v>0</x:v>
      </x:c>
      <x:c r="O52" s="33" t="b">
        <x:v>0</x:v>
      </x:c>
      <x:c r="P52" s="32" t="str">
        <x:v>confirmed_applied</x:v>
      </x:c>
      <x:c r="Q52" s="32" t="str">
        <x:v>confirmed_no_action</x:v>
      </x:c>
      <x:c r="R52" s="32" t="str"/>
      <x:c r="S52" s="32" t="str"/>
      <x:c r="T52" s="32" t="str"/>
    </x:row>
    <x:row r="53" ht="42" customHeight="1">
      <x:c r="A53" s="32" t="str">
        <x:v>49</x:v>
      </x:c>
      <x:c r="B53" s="32" t="str">
        <x:v>ТОО Автосан</x:v>
      </x:c>
      <x:c r="C53" s="32" t="str">
        <x:v>Аудит ФО 2024</x:v>
      </x:c>
      <x:c r="D53" s="32" t="n">
        <x:v>2024</x:v>
      </x:c>
      <x:c r="E53" s="32" t="str">
        <x:v>март-апрель 2025г.</x:v>
      </x:c>
      <x:c r="F53" s="32" t="str">
        <x:v>ТОО Автосан</x:v>
      </x:c>
      <x:c r="G53" s="32" t="str">
        <x:v>high</x:v>
      </x:c>
      <x:c r="H53" s="32" t="str">
        <x:v>exact</x:v>
      </x:c>
      <x:c r="I53" s="32" t="str">
        <x:v>1. ТОО Автосан [255] (c6056e49-f439-4237-b711-94d7f3a1ccf1)
2. ТОО «Автосан Казахстан» - услуг по проведению аудита финансовой отчетности ТОО «Автосан Казахстан» за 2025 год, подготовленной в соответствии с Международными Стандартами Финансовой Отчетности (МСФО) [194] (2073b8ca-c216-4aa3-9686-dc377aa05953)</x:v>
      </x:c>
      <x:c r="J53" s="32" t="str">
        <x:v>ТОО Автосан</x:v>
      </x:c>
      <x:c r="K53" s="33" t="b">
        <x:v>1</x:v>
      </x:c>
      <x:c r="L53" s="33" t="b">
        <x:v>1</x:v>
      </x:c>
      <x:c r="M53" s="32" t="n">
        <x:v>1</x:v>
      </x:c>
      <x:c r="N53" s="32" t="n">
        <x:v>8</x:v>
      </x:c>
      <x:c r="O53" s="33" t="b">
        <x:v>0</x:v>
      </x:c>
      <x:c r="P53" s="32" t="str">
        <x:v>confirmed_applied</x:v>
      </x:c>
      <x:c r="Q53" s="32" t="str">
        <x:v>confirmed_no_action</x:v>
      </x:c>
      <x:c r="R53" s="32" t="str"/>
      <x:c r="S53" s="32" t="str"/>
      <x:c r="T53" s="32" t="str"/>
    </x:row>
    <x:row r="54" ht="42" customHeight="1">
      <x:c r="A54" s="32" t="str">
        <x:v>50</x:v>
      </x:c>
      <x:c r="B54" s="32" t="str">
        <x:v>ТОО ТИМ</x:v>
      </x:c>
      <x:c r="C54" s="32" t="str">
        <x:v>Аудит ФО 2024</x:v>
      </x:c>
      <x:c r="D54" s="32" t="n">
        <x:v>2024</x:v>
      </x:c>
      <x:c r="E54" s="32" t="str">
        <x:v>март-апрель 2025г.</x:v>
      </x:c>
      <x:c r="F54" s="32" t="str"/>
      <x:c r="G54" s="32" t="str">
        <x:v>unmatched</x:v>
      </x:c>
      <x:c r="H54" s="32" t="str">
        <x:v>not_found</x:v>
      </x:c>
      <x:c r="I54" s="32" t="str"/>
      <x:c r="J54" s="32" t="str"/>
      <x:c r="K54" s="33" t="b">
        <x:v>0</x:v>
      </x:c>
      <x:c r="L54" s="33" t="b">
        <x:v>0</x:v>
      </x:c>
      <x:c r="M54" s="32" t="n">
        <x:v>0</x:v>
      </x:c>
      <x:c r="N54" s="32" t="n">
        <x:v>0</x:v>
      </x:c>
      <x:c r="O54" s="33" t="b">
        <x:v>1</x:v>
      </x:c>
      <x:c r="P54" s="32" t="str">
        <x:v>needs_project_match</x:v>
      </x:c>
      <x:c r="Q54" s="32" t="str">
        <x:v>review_create_or_match</x:v>
      </x:c>
      <x:c r="R54" s="32" t="str"/>
      <x:c r="S54" s="32" t="str"/>
      <x:c r="T54" s="32" t="str"/>
    </x:row>
    <x:row r="55" ht="42" customHeight="1">
      <x:c r="A55" s="32" t="str">
        <x:v>51</x:v>
      </x:c>
      <x:c r="B55" s="32" t="str">
        <x:v>АО Tansar Group</x:v>
      </x:c>
      <x:c r="C55" s="32" t="str">
        <x:v>Аудит ФО 2024</x:v>
      </x:c>
      <x:c r="D55" s="32" t="n">
        <x:v>2024</x:v>
      </x:c>
      <x:c r="E55" s="32" t="str">
        <x:v>март-апрель 2025г.</x:v>
      </x:c>
      <x:c r="F55" s="32" t="str">
        <x:v>АО Tansar Group от Тримовой Сауле</x:v>
      </x:c>
      <x:c r="G55" s="32" t="str">
        <x:v>low</x:v>
      </x:c>
      <x:c r="H55" s="32" t="str">
        <x:v>exact</x:v>
      </x:c>
      <x:c r="I55" s="32" t="str">
        <x:v>1. АО Tansar Group   - услуг по проведению аудита отдельной и консолидированной финансовой отчетности АО "Tansar Group" за период с 1 января 2025 года по 31 декабря 2025 года подготовленной в соответствии с Международными Стандартами Финансовой Отчетности  [194] (f0fc6162-8cc0-448c-a1a8-f1856fa7f06e)
2. АО Tansar Group от Тримовой Сауле [135] (e76c2b3c-2d74-40be-b7d9-653d2ed57570)
3. ТОО «Специальная финансовая компания «PARTNER GROUP»  - услуг по проведению аудита финансовой отчетности ТОО «Специальная финансовая компания PARTNER GROUP, за 2025 год [84] (d52f9b7f-56ed-47c6-b38c-e4f031d01fb4)
4. Частная Компания «BRR Group Ltd» - услуг по проведению аудита отдельной финансовой отчетности Частной Компании «BRR Group Ltd» за 2025 год, подготовленной в соответствии с Международными Стандартами Финансовой Отчетности, Планируемые объемы и технические характеристики Услуг указаны в Приложениях №1. [84] (6ab60653-5c92-4156-8c49-e19f328c8cf2)
5. Частная компания EA Group Finance Ltd - услуг по проведению аудита финансовой отчетности Частной компании EA Group Finance Ltd., за 2025 год, в соответствии с МСФО и МСА. Валюта презентации финансовой отчетности – в долларах США или в тенге  [84] (1814aa5f-33ff-436e-b228-1916e7456648)</x:v>
      </x:c>
      <x:c r="J55" s="32" t="str">
        <x:v>АО Tansar Group   - услуг по проведению аудита отдельной и консолидированной финансовой отчетности АО "Tansar Group" за период с 1 января 2025 года по 31 декабря 2025 года подготовленной в соответствии с Международными Стандартами Финансовой Отчетности </x:v>
      </x:c>
      <x:c r="K55" s="33" t="b">
        <x:v>1</x:v>
      </x:c>
      <x:c r="L55" s="33" t="b">
        <x:v>0</x:v>
      </x:c>
      <x:c r="M55" s="32" t="n">
        <x:v>0</x:v>
      </x:c>
      <x:c r="N55" s="32" t="n">
        <x:v>0</x:v>
      </x:c>
      <x:c r="O55" s="33" t="b">
        <x:v>0</x:v>
      </x:c>
      <x:c r="P55" s="32" t="str">
        <x:v>confirmed_applied</x:v>
      </x:c>
      <x:c r="Q55" s="32" t="str">
        <x:v>confirmed_no_action</x:v>
      </x:c>
      <x:c r="R55" s="32" t="str"/>
      <x:c r="S55" s="32" t="str"/>
      <x:c r="T55" s="32" t="str"/>
    </x:row>
    <x:row r="56" ht="42" customHeight="1">
      <x:c r="A56" s="32" t="str">
        <x:v>52</x:v>
      </x:c>
      <x:c r="B56" s="32" t="str">
        <x:v>ТОО TGAlfarabi</x:v>
      </x:c>
      <x:c r="C56" s="32" t="str">
        <x:v>Аудит ФО 2024</x:v>
      </x:c>
      <x:c r="D56" s="32" t="n">
        <x:v>2024</x:v>
      </x:c>
      <x:c r="E56" s="32" t="str">
        <x:v>март-апрель 2025г.</x:v>
      </x:c>
      <x:c r="F56" s="32" t="str"/>
      <x:c r="G56" s="32" t="str">
        <x:v>unmatched</x:v>
      </x:c>
      <x:c r="H56" s="32" t="str">
        <x:v>not_found</x:v>
      </x:c>
      <x:c r="I56" s="32" t="str"/>
      <x:c r="J56" s="32" t="str"/>
      <x:c r="K56" s="33" t="b">
        <x:v>0</x:v>
      </x:c>
      <x:c r="L56" s="33" t="b">
        <x:v>0</x:v>
      </x:c>
      <x:c r="M56" s="32" t="n">
        <x:v>0</x:v>
      </x:c>
      <x:c r="N56" s="32" t="n">
        <x:v>0</x:v>
      </x:c>
      <x:c r="O56" s="33" t="b">
        <x:v>1</x:v>
      </x:c>
      <x:c r="P56" s="32" t="str">
        <x:v>needs_project_match</x:v>
      </x:c>
      <x:c r="Q56" s="32" t="str">
        <x:v>review_create_or_match</x:v>
      </x:c>
      <x:c r="R56" s="32" t="str"/>
      <x:c r="S56" s="32" t="str"/>
      <x:c r="T56" s="32" t="str"/>
    </x:row>
  </x:sheetData>
  <x:mergeCells>
    <x:mergeCell ref="A1:T1"/>
    <x:mergeCell ref="A2:T2"/>
  </x:mergeCells>
  <x:conditionalFormatting sqref="P5:P56">
    <x:cfRule type="containsText" dxfId="15" priority="1" operator="containsText" text="confirmed"/>
    <x:cfRule type="containsText" dxfId="16" priority="2" operator="containsText" text="conflict"/>
    <x:cfRule type="containsText" dxfId="17" priority="3" operator="containsText" text="needs"/>
    <x:cfRule type="containsText" dxfId="18" priority="4" operator="containsText" text="mismatch"/>
  </x:conditionalFormatting>
  <x:conditionalFormatting sqref="R5:R56">
    <x:cfRule type="containsBlanks" dxfId="19" priority="5"/>
  </x:conditionalFormatting>
  <x:dataValidations count="1">
    <x:dataValidation type="list" sqref="R5:R56">
      <x:formula1>"use_existing_project,create_new_project,keep_live_team,apply_excel_team,merge_team_manually,keep_external,skip"</x:formula1>
    </x:dataValidation>
  </x:dataValidations>
  <x:pageMargins left="0.7" right="0.7" top="0.75" bottom="0.75" header="0.3" footer="0.3"/>
  <x:tableParts count="1">
    <x:tablePart xmlns:r="http://schemas.openxmlformats.org/officeDocument/2006/relationships" r:id="R78b960c208564cc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22" hidden="0" customWidth="1"/>
    <x:col min="4" max="4" width="10" hidden="0" customWidth="1"/>
    <x:col min="5" max="5" width="12" hidden="0" customWidth="1"/>
    <x:col min="6" max="6" width="22" hidden="0" customWidth="1"/>
    <x:col min="7" max="7" width="32" hidden="0" customWidth="1"/>
    <x:col min="8" max="8" width="22" hidden="0" customWidth="1"/>
    <x:col min="9" max="9" width="10" hidden="0" customWidth="1"/>
    <x:col min="10" max="10" width="12" hidden="0" customWidth="1"/>
    <x:col min="11" max="11" width="22" hidden="0" customWidth="1"/>
    <x:col min="12" max="12" width="10" hidden="0" customWidth="1"/>
    <x:col min="13" max="13" width="12" hidden="0" customWidth="1"/>
    <x:col min="14" max="14" width="10" hidden="0" customWidth="1"/>
    <x:col min="15" max="15" width="12" hidden="0" customWidth="1"/>
    <x:col min="16" max="16" width="20"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24" hidden="0" customWidth="1"/>
    <x:col min="24" max="24" width="24" hidden="0" customWidth="1"/>
    <x:col min="25" max="25" width="32" hidden="0" customWidth="1"/>
  </x:cols>
  <x:sheetData>
    <x:row r="1" ht="30" customHeight="1">
      <x:c r="A1" s="3" t="str">
        <x:v>Timesheet-файлы — сравнение версий</x:v>
      </x:c>
      <x:c r="B1" s="3"/>
      <x:c r="C1" s="3"/>
      <x:c r="D1" s="3"/>
      <x:c r="E1" s="3"/>
      <x:c r="F1" s="3"/>
      <x:c r="G1" s="3"/>
      <x:c r="H1" s="3"/>
      <x:c r="I1" s="3"/>
      <x:c r="J1" s="3"/>
      <x:c r="K1" s="3"/>
      <x:c r="L1" s="3"/>
      <x:c r="M1" s="3"/>
      <x:c r="N1" s="3"/>
      <x:c r="O1" s="3"/>
      <x:c r="P1" s="3"/>
      <x:c r="Q1" s="3"/>
      <x:c r="R1" s="3"/>
      <x:c r="S1" s="3"/>
      <x:c r="T1" s="3"/>
      <x:c r="U1" s="3"/>
      <x:c r="V1" s="3"/>
      <x:c r="W1" s="3"/>
      <x:c r="X1" s="3"/>
      <x:c r="Y1" s="3"/>
    </x:row>
    <x:row r="2" ht="30" customHeight="1">
      <x:c r="A2" s="7" t="str">
        <x:v>Root/raw/Drive/live сравниваются отдельно. Совпадение имени файла не считается доказательством импорта.</x:v>
      </x:c>
      <x:c r="B2" s="7"/>
      <x:c r="C2" s="7"/>
      <x:c r="D2" s="7"/>
      <x:c r="E2" s="7"/>
      <x:c r="F2" s="7"/>
      <x:c r="G2" s="7"/>
      <x:c r="H2" s="7"/>
      <x:c r="I2" s="7"/>
      <x:c r="J2" s="7"/>
      <x:c r="K2" s="7"/>
      <x:c r="L2" s="7"/>
      <x:c r="M2" s="7"/>
      <x:c r="N2" s="7"/>
      <x:c r="O2" s="7"/>
      <x:c r="P2" s="7"/>
      <x:c r="Q2" s="7"/>
      <x:c r="R2" s="7"/>
      <x:c r="S2" s="7"/>
      <x:c r="T2" s="7"/>
      <x:c r="U2" s="7"/>
      <x:c r="V2" s="7"/>
      <x:c r="W2" s="7"/>
      <x:c r="X2" s="7"/>
      <x:c r="Y2" s="7"/>
    </x:row>
    <x:row r="4" ht="34" customHeight="1">
      <x:c r="A4" s="17" t="str">
        <x:v>Employee</x:v>
      </x:c>
      <x:c r="B4" s="18" t="str">
        <x:v>Root File</x:v>
      </x:c>
      <x:c r="C4" s="18" t="str">
        <x:v>Root SHA-256</x:v>
      </x:c>
      <x:c r="D4" s="18" t="str">
        <x:v>Root Rows</x:v>
      </x:c>
      <x:c r="E4" s="18" t="str">
        <x:v>Root Hours</x:v>
      </x:c>
      <x:c r="F4" s="18" t="str">
        <x:v>Root Dates</x:v>
      </x:c>
      <x:c r="G4" s="18" t="str">
        <x:v>Raw File</x:v>
      </x:c>
      <x:c r="H4" s="18" t="str">
        <x:v>Raw SHA-256</x:v>
      </x:c>
      <x:c r="I4" s="18" t="str">
        <x:v>Raw Rows</x:v>
      </x:c>
      <x:c r="J4" s="18" t="str">
        <x:v>Raw Hours</x:v>
      </x:c>
      <x:c r="K4" s="18" t="str">
        <x:v>Raw Dates</x:v>
      </x:c>
      <x:c r="L4" s="18" t="str">
        <x:v>Drive Rows</x:v>
      </x:c>
      <x:c r="M4" s="18" t="str">
        <x:v>Drive Hours</x:v>
      </x:c>
      <x:c r="N4" s="18" t="str">
        <x:v>Live Rows</x:v>
      </x:c>
      <x:c r="O4" s="18" t="str">
        <x:v>Live Hours</x:v>
      </x:c>
      <x:c r="P4" s="18" t="str">
        <x:v>Live Statuses</x:v>
      </x:c>
      <x:c r="Q4" s="18" t="str">
        <x:v>Root Strict Match</x:v>
      </x:c>
      <x:c r="R4" s="18" t="str">
        <x:v>Root Compact Match</x:v>
      </x:c>
      <x:c r="S4" s="18" t="str">
        <x:v>Raw Strict Match</x:v>
      </x:c>
      <x:c r="T4" s="18" t="str">
        <x:v>Raw Compact Match</x:v>
      </x:c>
      <x:c r="U4" s="18" t="str">
        <x:v>Drive Strict Match</x:v>
      </x:c>
      <x:c r="V4" s="18" t="str">
        <x:v>Drive Compact Match</x:v>
      </x:c>
      <x:c r="W4" s="18" t="str">
        <x:v>Drive Status</x:v>
      </x:c>
      <x:c r="X4" s="18" t="str">
        <x:v>Status</x:v>
      </x:c>
      <x:c r="Y4" s="19" t="str">
        <x:v>Recommendation</x:v>
      </x:c>
    </x:row>
    <x:row r="5" ht="42" customHeight="1">
      <x:c r="A5" s="30" t="str">
        <x:v>Аманов Онгар</x:v>
      </x:c>
      <x:c r="B5" s="30" t="str">
        <x:v>Аманов Онгар.xlsx</x:v>
      </x:c>
      <x:c r="C5" s="30" t="str">
        <x:v>7a89684067eeebf6b9badfc360aac3c7bd7484a84245f5d7036a17e4743f6487</x:v>
      </x:c>
      <x:c r="D5" s="30" t="n">
        <x:v>376</x:v>
      </x:c>
      <x:c r="E5" s="30" t="n">
        <x:v>3000</x:v>
      </x:c>
      <x:c r="F5" s="30" t="str">
        <x:v>2024-10-24 — 2026-05-20</x:v>
      </x:c>
      <x:c r="G5" s="30" t="str">
        <x:v>tmp/timesheets-raw/Аманов Онгар.xlsx</x:v>
      </x:c>
      <x:c r="H5" s="30" t="str">
        <x:v>5049bd3a99f402138d61f1cc6b36d203358f6e683efcb78cc304128371135750</x:v>
      </x:c>
      <x:c r="I5" s="30" t="n">
        <x:v>380</x:v>
      </x:c>
      <x:c r="J5" s="30" t="n">
        <x:v>3032</x:v>
      </x:c>
      <x:c r="K5" s="30" t="str">
        <x:v>2024-10-24 — 2026-05-26</x:v>
      </x:c>
      <x:c r="L5" s="30" t="n">
        <x:v>385</x:v>
      </x:c>
      <x:c r="M5" s="30" t="n">
        <x:v>3072</x:v>
      </x:c>
      <x:c r="N5" s="30" t="n">
        <x:v>385</x:v>
      </x:c>
      <x:c r="O5" s="30" t="n">
        <x:v>3072</x:v>
      </x:c>
      <x:c r="P5" s="30" t="str">
        <x:v>approved: 382
submitted: 3</x:v>
      </x:c>
      <x:c r="Q5" s="30" t="str">
        <x:v>350/376</x:v>
      </x:c>
      <x:c r="R5" s="30" t="str">
        <x:v>376/376</x:v>
      </x:c>
      <x:c r="S5" s="30" t="str">
        <x:v>354/380</x:v>
      </x:c>
      <x:c r="T5" s="30" t="str">
        <x:v>380/380</x:v>
      </x:c>
      <x:c r="U5" s="30" t="str">
        <x:v>385/385</x:v>
      </x:c>
      <x:c r="V5" s="30" t="str">
        <x:v>385/385</x:v>
      </x:c>
      <x:c r="W5" s="30" t="str">
        <x:v>exact_drive_batch_match</x:v>
      </x:c>
      <x:c r="X5" s="30" t="str">
        <x:v>source_version_mismatch</x:v>
      </x:c>
      <x:c r="Y5" s="30" t="str">
        <x:v>keep_live_and_review_version_delta</x:v>
      </x:c>
    </x:row>
    <x:row r="6" ht="42" customHeight="1">
      <x:c r="A6" s="32" t="str">
        <x:v>Сауле Бадамбаева</x:v>
      </x:c>
      <x:c r="B6" s="32" t="str">
        <x:v>Бадамбаева Сауле(1).xlsx</x:v>
      </x:c>
      <x:c r="C6" s="32" t="str">
        <x:v>c6cce9980ead4a933eff13f71a3d34cf305ee9aecd34b0be25a9dd99c26075c6</x:v>
      </x:c>
      <x:c r="D6" s="32" t="n">
        <x:v>563</x:v>
      </x:c>
      <x:c r="E6" s="32" t="n">
        <x:v>3922</x:v>
      </x:c>
      <x:c r="F6" s="32" t="str">
        <x:v>2024-07-11 — 2026-05-21</x:v>
      </x:c>
      <x:c r="G6" s="32" t="str">
        <x:v>tmp/timesheets-raw/Бадамбаева Сауле.xlsx</x:v>
      </x:c>
      <x:c r="H6" s="32" t="str">
        <x:v>7e1bbe59426b979369ca7fd9effeb577fd6dacad7a496cd4fc8d15d1b9c7d1d9</x:v>
      </x:c>
      <x:c r="I6" s="32" t="n">
        <x:v>573</x:v>
      </x:c>
      <x:c r="J6" s="32" t="n">
        <x:v>4002</x:v>
      </x:c>
      <x:c r="K6" s="32" t="str">
        <x:v>2024-07-11 — 2026-05-26</x:v>
      </x:c>
      <x:c r="L6" s="32" t="n">
        <x:v>537</x:v>
      </x:c>
      <x:c r="M6" s="32" t="n">
        <x:v>3746</x:v>
      </x:c>
      <x:c r="N6" s="32" t="n">
        <x:v>535</x:v>
      </x:c>
      <x:c r="O6" s="32" t="n">
        <x:v>3734</x:v>
      </x:c>
      <x:c r="P6" s="32" t="str">
        <x:v>approved: 530
submitted: 5</x:v>
      </x:c>
      <x:c r="Q6" s="32" t="str">
        <x:v>505/563</x:v>
      </x:c>
      <x:c r="R6" s="32" t="str">
        <x:v>512/563</x:v>
      </x:c>
      <x:c r="S6" s="32" t="str">
        <x:v>516/573</x:v>
      </x:c>
      <x:c r="T6" s="32" t="str">
        <x:v>522/573</x:v>
      </x:c>
      <x:c r="U6" s="32" t="str">
        <x:v>535/537</x:v>
      </x:c>
      <x:c r="V6" s="32" t="str">
        <x:v>535/537</x:v>
      </x:c>
      <x:c r="W6" s="32" t="str">
        <x:v>live_subset_after_cleanup</x:v>
      </x:c>
      <x:c r="X6" s="32" t="str">
        <x:v>source_version_mismatch</x:v>
      </x:c>
      <x:c r="Y6" s="32" t="str">
        <x:v>keep_live_and_review_version_delta</x:v>
      </x:c>
    </x:row>
    <x:row r="7" ht="42" customHeight="1">
      <x:c r="A7" s="32" t="str">
        <x:v>Сартаева Гаухар Шыныбековна</x:v>
      </x:c>
      <x:c r="B7" s="32" t="str">
        <x:v>Сартаева Гаухар(1).xlsx</x:v>
      </x:c>
      <x:c r="C7" s="32" t="str">
        <x:v>c933cfbf0a192ae45696292f8ea90c612bfd45efc8093c8bcb874d90252f9ba0</x:v>
      </x:c>
      <x:c r="D7" s="32" t="n">
        <x:v>446</x:v>
      </x:c>
      <x:c r="E7" s="32" t="n">
        <x:v>3131</x:v>
      </x:c>
      <x:c r="F7" s="32" t="str">
        <x:v>2024-10-01 — 2026-05-21</x:v>
      </x:c>
      <x:c r="G7" s="32" t="str">
        <x:v>tmp/timesheets-raw/Сартаева Гаухар.xlsx</x:v>
      </x:c>
      <x:c r="H7" s="32" t="str">
        <x:v>23e599f4d2ac499e8b25799c7be76c9444d11d92665a21241227e340fa5095c0</x:v>
      </x:c>
      <x:c r="I7" s="32" t="n">
        <x:v>453</x:v>
      </x:c>
      <x:c r="J7" s="32" t="n">
        <x:v>3187</x:v>
      </x:c>
      <x:c r="K7" s="32" t="str">
        <x:v>2024-10-01 — 2026-06-02</x:v>
      </x:c>
      <x:c r="L7" s="32" t="n">
        <x:v>452</x:v>
      </x:c>
      <x:c r="M7" s="32" t="n">
        <x:v>3179</x:v>
      </x:c>
      <x:c r="N7" s="32" t="n">
        <x:v>452</x:v>
      </x:c>
      <x:c r="O7" s="32" t="n">
        <x:v>3179</x:v>
      </x:c>
      <x:c r="P7" s="32" t="str">
        <x:v>approved: 450
submitted: 2</x:v>
      </x:c>
      <x:c r="Q7" s="32" t="str">
        <x:v>376/446</x:v>
      </x:c>
      <x:c r="R7" s="32" t="str">
        <x:v>445/446</x:v>
      </x:c>
      <x:c r="S7" s="32" t="str">
        <x:v>383/453</x:v>
      </x:c>
      <x:c r="T7" s="32" t="str">
        <x:v>452/453</x:v>
      </x:c>
      <x:c r="U7" s="32" t="str">
        <x:v>452/452</x:v>
      </x:c>
      <x:c r="V7" s="32" t="str">
        <x:v>452/452</x:v>
      </x:c>
      <x:c r="W7" s="32" t="str">
        <x:v>exact_drive_batch_match</x:v>
      </x:c>
      <x:c r="X7" s="32" t="str">
        <x:v>source_version_mismatch</x:v>
      </x:c>
      <x:c r="Y7" s="32" t="str">
        <x:v>keep_live_and_review_version_delta</x:v>
      </x:c>
    </x:row>
  </x:sheetData>
  <x:mergeCells>
    <x:mergeCell ref="A1:Y1"/>
    <x:mergeCell ref="A2:Y2"/>
  </x:mergeCells>
  <x:conditionalFormatting sqref="X5:X7">
    <x:cfRule type="containsText" dxfId="20" priority="1" operator="containsText" text="confirmed"/>
    <x:cfRule type="containsText" dxfId="21" priority="2" operator="containsText" text="conflict"/>
    <x:cfRule type="containsText" dxfId="22" priority="3" operator="containsText" text="needs"/>
    <x:cfRule type="containsText" dxfId="23" priority="4" operator="containsText" text="mismatch"/>
  </x:conditionalFormatting>
  <x:pageMargins left="0.7" right="0.7" top="0.75" bottom="0.75" header="0.3" footer="0.3"/>
  <x:tableParts count="1">
    <x:tablePart xmlns:r="http://schemas.openxmlformats.org/officeDocument/2006/relationships" r:id="R80ac4f7064a4481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14" hidden="0" customWidth="1"/>
    <x:col min="4" max="4" width="12" hidden="0" customWidth="1"/>
    <x:col min="5" max="5" width="10" hidden="0" customWidth="1"/>
    <x:col min="6" max="6" width="44" hidden="0" customWidth="1"/>
    <x:col min="7" max="7" width="50" hidden="0" customWidth="1"/>
    <x:col min="8" max="8" width="22" hidden="0" customWidth="1"/>
    <x:col min="9" max="9" width="9" hidden="0" customWidth="1"/>
    <x:col min="10" max="10" width="12" hidden="0" customWidth="1"/>
  </x:cols>
  <x:sheetData>
    <x:row r="1" ht="30" customHeight="1">
      <x:c r="A1" s="3" t="str">
        <x:v>Timesheet-файлы — построчные расхождения</x:v>
      </x:c>
      <x:c r="B1" s="3"/>
      <x:c r="C1" s="3"/>
      <x:c r="D1" s="3"/>
      <x:c r="E1" s="3"/>
      <x:c r="F1" s="3"/>
      <x:c r="G1" s="3"/>
      <x:c r="H1" s="3"/>
      <x:c r="I1" s="3"/>
      <x:c r="J1" s="3"/>
    </x:row>
    <x:row r="2" ht="30" customHeight="1">
      <x:c r="A2" s="7" t="str">
        <x:v>Строгий fingerprint: employee + date + hours + project + notes. Эти строки объясняют каждое несовпадение версий.</x:v>
      </x:c>
      <x:c r="B2" s="7"/>
      <x:c r="C2" s="7"/>
      <x:c r="D2" s="7"/>
      <x:c r="E2" s="7"/>
      <x:c r="F2" s="7"/>
      <x:c r="G2" s="7"/>
      <x:c r="H2" s="7"/>
      <x:c r="I2" s="7"/>
      <x:c r="J2" s="7"/>
    </x:row>
    <x:row r="4" ht="34" customHeight="1">
      <x:c r="A4" s="17" t="str">
        <x:v>Employee</x:v>
      </x:c>
      <x:c r="B4" s="18" t="str">
        <x:v>Comparison</x:v>
      </x:c>
      <x:c r="C4" s="18" t="str">
        <x:v>Direction</x:v>
      </x:c>
      <x:c r="D4" s="18" t="str">
        <x:v>Date</x:v>
      </x:c>
      <x:c r="E4" s="18" t="str">
        <x:v>Hours</x:v>
      </x:c>
      <x:c r="F4" s="18" t="str">
        <x:v>Project</x:v>
      </x:c>
      <x:c r="G4" s="18" t="str">
        <x:v>Notes</x:v>
      </x:c>
      <x:c r="H4" s="18" t="str">
        <x:v>Sheet</x:v>
      </x:c>
      <x:c r="I4" s="18" t="str">
        <x:v>Row</x:v>
      </x:c>
      <x:c r="J4" s="19" t="str">
        <x:v>Status</x:v>
      </x:c>
    </x:row>
    <x:row r="5" ht="42" customHeight="1">
      <x:c r="A5" s="30" t="str">
        <x:v>Аманов Онгар</x:v>
      </x:c>
      <x:c r="B5" s="30" t="str">
        <x:v>rootToLive</x:v>
      </x:c>
      <x:c r="C5" s="30" t="str">
        <x:v>source_only</x:v>
      </x:c>
      <x:c r="D5" s="30" t="str">
        <x:v>2024-12-03</x:v>
      </x:c>
      <x:c r="E5" s="30" t="n">
        <x:v>8</x:v>
      </x:c>
      <x:c r="F5" s="30" t="str"/>
      <x:c r="G5" s="30" t="str">
        <x:v>Каратон Оперейтинг</x:v>
      </x:c>
      <x:c r="H5" s="30" t="str">
        <x:v>Time Sheet</x:v>
      </x:c>
      <x:c r="I5" s="30" t="n">
        <x:v>31</x:v>
      </x:c>
      <x:c r="J5" s="30" t="str"/>
    </x:row>
    <x:row r="6" ht="42" customHeight="1">
      <x:c r="A6" s="32" t="str">
        <x:v>Аманов Онгар</x:v>
      </x:c>
      <x:c r="B6" s="32" t="str">
        <x:v>rootToLive</x:v>
      </x:c>
      <x:c r="C6" s="32" t="str">
        <x:v>source_only</x:v>
      </x:c>
      <x:c r="D6" s="32" t="str">
        <x:v>2024-12-04</x:v>
      </x:c>
      <x:c r="E6" s="32" t="n">
        <x:v>8</x:v>
      </x:c>
      <x:c r="F6" s="32" t="str"/>
      <x:c r="G6" s="32" t="str">
        <x:v>Каратон Оперейтинг</x:v>
      </x:c>
      <x:c r="H6" s="32" t="str">
        <x:v>Time Sheet</x:v>
      </x:c>
      <x:c r="I6" s="32" t="n">
        <x:v>32</x:v>
      </x:c>
      <x:c r="J6" s="32" t="str"/>
    </x:row>
    <x:row r="7" ht="42" customHeight="1">
      <x:c r="A7" s="32" t="str">
        <x:v>Аманов Онгар</x:v>
      </x:c>
      <x:c r="B7" s="32" t="str">
        <x:v>rootToLive</x:v>
      </x:c>
      <x:c r="C7" s="32" t="str">
        <x:v>source_only</x:v>
      </x:c>
      <x:c r="D7" s="32" t="str">
        <x:v>2024-12-05</x:v>
      </x:c>
      <x:c r="E7" s="32" t="n">
        <x:v>8</x:v>
      </x:c>
      <x:c r="F7" s="32" t="str"/>
      <x:c r="G7" s="32" t="str">
        <x:v>Каратон Оперейтинг</x:v>
      </x:c>
      <x:c r="H7" s="32" t="str">
        <x:v>Time Sheet</x:v>
      </x:c>
      <x:c r="I7" s="32" t="n">
        <x:v>33</x:v>
      </x:c>
      <x:c r="J7" s="32" t="str"/>
    </x:row>
    <x:row r="8" ht="42" customHeight="1">
      <x:c r="A8" s="32" t="str">
        <x:v>Аманов Онгар</x:v>
      </x:c>
      <x:c r="B8" s="32" t="str">
        <x:v>rootToLive</x:v>
      </x:c>
      <x:c r="C8" s="32" t="str">
        <x:v>source_only</x:v>
      </x:c>
      <x:c r="D8" s="32" t="str">
        <x:v>2024-12-06</x:v>
      </x:c>
      <x:c r="E8" s="32" t="n">
        <x:v>8</x:v>
      </x:c>
      <x:c r="F8" s="32" t="str"/>
      <x:c r="G8" s="32" t="str">
        <x:v>Каратон Оперейтинг (счет 2610)</x:v>
      </x:c>
      <x:c r="H8" s="32" t="str">
        <x:v>Time Sheet</x:v>
      </x:c>
      <x:c r="I8" s="32" t="n">
        <x:v>34</x:v>
      </x:c>
      <x:c r="J8" s="32" t="str"/>
    </x:row>
    <x:row r="9" ht="42" customHeight="1">
      <x:c r="A9" s="32" t="str">
        <x:v>Аманов Онгар</x:v>
      </x:c>
      <x:c r="B9" s="32" t="str">
        <x:v>rootToLive</x:v>
      </x:c>
      <x:c r="C9" s="32" t="str">
        <x:v>source_only</x:v>
      </x:c>
      <x:c r="D9" s="32" t="str">
        <x:v>2024-12-09</x:v>
      </x:c>
      <x:c r="E9" s="32" t="n">
        <x:v>8</x:v>
      </x:c>
      <x:c r="F9" s="32" t="str"/>
      <x:c r="G9" s="32" t="str">
        <x:v>Каратон Оперейтинг (получены скан первичных документов по запасам и их разбивка)</x:v>
      </x:c>
      <x:c r="H9" s="32" t="str">
        <x:v>Time Sheet</x:v>
      </x:c>
      <x:c r="I9" s="32" t="n">
        <x:v>35</x:v>
      </x:c>
      <x:c r="J9" s="32" t="str"/>
    </x:row>
    <x:row r="10" ht="42" customHeight="1">
      <x:c r="A10" s="32" t="str">
        <x:v>Аманов Онгар</x:v>
      </x:c>
      <x:c r="B10" s="32" t="str">
        <x:v>rootToLive</x:v>
      </x:c>
      <x:c r="C10" s="32" t="str">
        <x:v>source_only</x:v>
      </x:c>
      <x:c r="D10" s="32" t="str">
        <x:v>2024-12-10</x:v>
      </x:c>
      <x:c r="E10" s="32" t="n">
        <x:v>8</x:v>
      </x:c>
      <x:c r="F10" s="32" t="str"/>
      <x:c r="G10" s="32" t="str">
        <x:v>Каратон Оперейтинг (получены скан первичных документов по НМА и их разбивка)</x:v>
      </x:c>
      <x:c r="H10" s="32" t="str">
        <x:v>Time Sheet</x:v>
      </x:c>
      <x:c r="I10" s="32" t="n">
        <x:v>36</x:v>
      </x:c>
      <x:c r="J10" s="32" t="str"/>
    </x:row>
    <x:row r="11" ht="42" customHeight="1">
      <x:c r="A11" s="32" t="str">
        <x:v>Аманов Онгар</x:v>
      </x:c>
      <x:c r="B11" s="32" t="str">
        <x:v>rootToLive</x:v>
      </x:c>
      <x:c r="C11" s="32" t="str">
        <x:v>source_only</x:v>
      </x:c>
      <x:c r="D11" s="32" t="str">
        <x:v>2024-12-11</x:v>
      </x:c>
      <x:c r="E11" s="32" t="n">
        <x:v>8</x:v>
      </x:c>
      <x:c r="F11" s="32" t="str"/>
      <x:c r="G11" s="32" t="str">
        <x:v>Каратон Оперейтинг (получены сканы первичных документов по ОС и их разбивка)</x:v>
      </x:c>
      <x:c r="H11" s="32" t="str">
        <x:v>Time Sheet</x:v>
      </x:c>
      <x:c r="I11" s="32" t="n">
        <x:v>37</x:v>
      </x:c>
      <x:c r="J11" s="32" t="str"/>
    </x:row>
    <x:row r="12" ht="42" customHeight="1">
      <x:c r="A12" s="32" t="str">
        <x:v>Аманов Онгар</x:v>
      </x:c>
      <x:c r="B12" s="32" t="str">
        <x:v>rootToLive</x:v>
      </x:c>
      <x:c r="C12" s="32" t="str">
        <x:v>source_only</x:v>
      </x:c>
      <x:c r="D12" s="32" t="str">
        <x:v>2025-06-23</x:v>
      </x:c>
      <x:c r="E12" s="32" t="n">
        <x:v>8</x:v>
      </x:c>
      <x:c r="F12" s="32" t="str"/>
      <x:c r="G12" s="32" t="str">
        <x:v>ШалкияЦинк</x:v>
      </x:c>
      <x:c r="H12" s="32" t="str">
        <x:v>Time Sheet</x:v>
      </x:c>
      <x:c r="I12" s="32" t="n">
        <x:v>164</x:v>
      </x:c>
      <x:c r="J12" s="32" t="str"/>
    </x:row>
    <x:row r="13" ht="42" customHeight="1">
      <x:c r="A13" s="32" t="str">
        <x:v>Аманов Онгар</x:v>
      </x:c>
      <x:c r="B13" s="32" t="str">
        <x:v>rootToLive</x:v>
      </x:c>
      <x:c r="C13" s="32" t="str">
        <x:v>source_only</x:v>
      </x:c>
      <x:c r="D13" s="32" t="str">
        <x:v>2025-06-24</x:v>
      </x:c>
      <x:c r="E13" s="32" t="n">
        <x:v>8</x:v>
      </x:c>
      <x:c r="F13" s="32" t="str"/>
      <x:c r="G13" s="32" t="str">
        <x:v>ШалкияЦинк</x:v>
      </x:c>
      <x:c r="H13" s="32" t="str">
        <x:v>Time Sheet</x:v>
      </x:c>
      <x:c r="I13" s="32" t="n">
        <x:v>165</x:v>
      </x:c>
      <x:c r="J13" s="32" t="str"/>
    </x:row>
    <x:row r="14" ht="42" customHeight="1">
      <x:c r="A14" s="32" t="str">
        <x:v>Аманов Онгар</x:v>
      </x:c>
      <x:c r="B14" s="32" t="str">
        <x:v>rootToLive</x:v>
      </x:c>
      <x:c r="C14" s="32" t="str">
        <x:v>source_only</x:v>
      </x:c>
      <x:c r="D14" s="32" t="str">
        <x:v>2025-06-25</x:v>
      </x:c>
      <x:c r="E14" s="32" t="n">
        <x:v>8</x:v>
      </x:c>
      <x:c r="F14" s="32" t="str"/>
      <x:c r="G14" s="32" t="str">
        <x:v>ШалкияЦинк</x:v>
      </x:c>
      <x:c r="H14" s="32" t="str">
        <x:v>Time Sheet</x:v>
      </x:c>
      <x:c r="I14" s="32" t="n">
        <x:v>166</x:v>
      </x:c>
      <x:c r="J14" s="32" t="str"/>
    </x:row>
    <x:row r="15" ht="42" customHeight="1">
      <x:c r="A15" s="32" t="str">
        <x:v>Аманов Онгар</x:v>
      </x:c>
      <x:c r="B15" s="32" t="str">
        <x:v>rootToLive</x:v>
      </x:c>
      <x:c r="C15" s="32" t="str">
        <x:v>source_only</x:v>
      </x:c>
      <x:c r="D15" s="32" t="str">
        <x:v>2025-06-26</x:v>
      </x:c>
      <x:c r="E15" s="32" t="n">
        <x:v>8</x:v>
      </x:c>
      <x:c r="F15" s="32" t="str"/>
      <x:c r="G15" s="32" t="str">
        <x:v>ШалкияЦинк</x:v>
      </x:c>
      <x:c r="H15" s="32" t="str">
        <x:v>Time Sheet</x:v>
      </x:c>
      <x:c r="I15" s="32" t="n">
        <x:v>167</x:v>
      </x:c>
      <x:c r="J15" s="32" t="str"/>
    </x:row>
    <x:row r="16" ht="42" customHeight="1">
      <x:c r="A16" s="32" t="str">
        <x:v>Аманов Онгар</x:v>
      </x:c>
      <x:c r="B16" s="32" t="str">
        <x:v>rootToLive</x:v>
      </x:c>
      <x:c r="C16" s="32" t="str">
        <x:v>source_only</x:v>
      </x:c>
      <x:c r="D16" s="32" t="str">
        <x:v>2025-06-27</x:v>
      </x:c>
      <x:c r="E16" s="32" t="n">
        <x:v>8</x:v>
      </x:c>
      <x:c r="F16" s="32" t="str"/>
      <x:c r="G16" s="32" t="str">
        <x:v>ШалкияЦинк</x:v>
      </x:c>
      <x:c r="H16" s="32" t="str">
        <x:v>Time Sheet</x:v>
      </x:c>
      <x:c r="I16" s="32" t="n">
        <x:v>168</x:v>
      </x:c>
      <x:c r="J16" s="32" t="str"/>
    </x:row>
    <x:row r="17" ht="42" customHeight="1">
      <x:c r="A17" s="32" t="str">
        <x:v>Аманов Онгар</x:v>
      </x:c>
      <x:c r="B17" s="32" t="str">
        <x:v>rootToLive</x:v>
      </x:c>
      <x:c r="C17" s="32" t="str">
        <x:v>source_only</x:v>
      </x:c>
      <x:c r="D17" s="32" t="str">
        <x:v>2025-06-30</x:v>
      </x:c>
      <x:c r="E17" s="32" t="n">
        <x:v>8</x:v>
      </x:c>
      <x:c r="F17" s="32" t="str"/>
      <x:c r="G17" s="32" t="str">
        <x:v>ШалкияЦинк</x:v>
      </x:c>
      <x:c r="H17" s="32" t="str">
        <x:v>Time Sheet</x:v>
      </x:c>
      <x:c r="I17" s="32" t="n">
        <x:v>169</x:v>
      </x:c>
      <x:c r="J17" s="32" t="str"/>
    </x:row>
    <x:row r="18" ht="42" customHeight="1">
      <x:c r="A18" s="32" t="str">
        <x:v>Аманов Онгар</x:v>
      </x:c>
      <x:c r="B18" s="32" t="str">
        <x:v>rootToLive</x:v>
      </x:c>
      <x:c r="C18" s="32" t="str">
        <x:v>source_only</x:v>
      </x:c>
      <x:c r="D18" s="32" t="str">
        <x:v>2026-03-02</x:v>
      </x:c>
      <x:c r="E18" s="32" t="n">
        <x:v>8</x:v>
      </x:c>
      <x:c r="F18" s="32" t="str"/>
      <x:c r="G18" s="32" t="str">
        <x:v>Казаэронавигация</x:v>
      </x:c>
      <x:c r="H18" s="32" t="str">
        <x:v>Time Sheet</x:v>
      </x:c>
      <x:c r="I18" s="32" t="n">
        <x:v>327</x:v>
      </x:c>
      <x:c r="J18" s="32" t="str"/>
    </x:row>
    <x:row r="19" ht="42" customHeight="1">
      <x:c r="A19" s="32" t="str">
        <x:v>Аманов Онгар</x:v>
      </x:c>
      <x:c r="B19" s="32" t="str">
        <x:v>rootToLive</x:v>
      </x:c>
      <x:c r="C19" s="32" t="str">
        <x:v>source_only</x:v>
      </x:c>
      <x:c r="D19" s="32" t="str">
        <x:v>2026-03-03</x:v>
      </x:c>
      <x:c r="E19" s="32" t="n">
        <x:v>8</x:v>
      </x:c>
      <x:c r="F19" s="32" t="str"/>
      <x:c r="G19" s="32" t="str">
        <x:v>Казаэронавигация</x:v>
      </x:c>
      <x:c r="H19" s="32" t="str">
        <x:v>Time Sheet</x:v>
      </x:c>
      <x:c r="I19" s="32" t="n">
        <x:v>328</x:v>
      </x:c>
      <x:c r="J19" s="32" t="str"/>
    </x:row>
    <x:row r="20" ht="42" customHeight="1">
      <x:c r="A20" s="32" t="str">
        <x:v>Аманов Онгар</x:v>
      </x:c>
      <x:c r="B20" s="32" t="str">
        <x:v>rootToLive</x:v>
      </x:c>
      <x:c r="C20" s="32" t="str">
        <x:v>source_only</x:v>
      </x:c>
      <x:c r="D20" s="32" t="str">
        <x:v>2026-03-04</x:v>
      </x:c>
      <x:c r="E20" s="32" t="n">
        <x:v>8</x:v>
      </x:c>
      <x:c r="F20" s="32" t="str"/>
      <x:c r="G20" s="32" t="str">
        <x:v>Казаэронавигация</x:v>
      </x:c>
      <x:c r="H20" s="32" t="str">
        <x:v>Time Sheet</x:v>
      </x:c>
      <x:c r="I20" s="32" t="n">
        <x:v>329</x:v>
      </x:c>
      <x:c r="J20" s="32" t="str"/>
    </x:row>
    <x:row r="21" ht="42" customHeight="1">
      <x:c r="A21" s="32" t="str">
        <x:v>Аманов Онгар</x:v>
      </x:c>
      <x:c r="B21" s="32" t="str">
        <x:v>rootToLive</x:v>
      </x:c>
      <x:c r="C21" s="32" t="str">
        <x:v>source_only</x:v>
      </x:c>
      <x:c r="D21" s="32" t="str">
        <x:v>2026-03-05</x:v>
      </x:c>
      <x:c r="E21" s="32" t="n">
        <x:v>8</x:v>
      </x:c>
      <x:c r="F21" s="32" t="str"/>
      <x:c r="G21" s="32" t="str">
        <x:v>Казаэронавигация</x:v>
      </x:c>
      <x:c r="H21" s="32" t="str">
        <x:v>Time Sheet</x:v>
      </x:c>
      <x:c r="I21" s="32" t="n">
        <x:v>330</x:v>
      </x:c>
      <x:c r="J21" s="32" t="str"/>
    </x:row>
    <x:row r="22" ht="42" customHeight="1">
      <x:c r="A22" s="32" t="str">
        <x:v>Аманов Онгар</x:v>
      </x:c>
      <x:c r="B22" s="32" t="str">
        <x:v>rootToLive</x:v>
      </x:c>
      <x:c r="C22" s="32" t="str">
        <x:v>source_only</x:v>
      </x:c>
      <x:c r="D22" s="32" t="str">
        <x:v>2026-03-06</x:v>
      </x:c>
      <x:c r="E22" s="32" t="n">
        <x:v>8</x:v>
      </x:c>
      <x:c r="F22" s="32" t="str"/>
      <x:c r="G22" s="32" t="str">
        <x:v>Казаэронавигация</x:v>
      </x:c>
      <x:c r="H22" s="32" t="str">
        <x:v>Time Sheet</x:v>
      </x:c>
      <x:c r="I22" s="32" t="n">
        <x:v>331</x:v>
      </x:c>
      <x:c r="J22" s="32" t="str"/>
    </x:row>
    <x:row r="23" ht="42" customHeight="1">
      <x:c r="A23" s="32" t="str">
        <x:v>Аманов Онгар</x:v>
      </x:c>
      <x:c r="B23" s="32" t="str">
        <x:v>rootToLive</x:v>
      </x:c>
      <x:c r="C23" s="32" t="str">
        <x:v>source_only</x:v>
      </x:c>
      <x:c r="D23" s="32" t="str">
        <x:v>2026-03-10</x:v>
      </x:c>
      <x:c r="E23" s="32" t="n">
        <x:v>8</x:v>
      </x:c>
      <x:c r="F23" s="32" t="str"/>
      <x:c r="G23" s="32" t="str">
        <x:v>Казаэронавигация</x:v>
      </x:c>
      <x:c r="H23" s="32" t="str">
        <x:v>Time Sheet</x:v>
      </x:c>
      <x:c r="I23" s="32" t="n">
        <x:v>332</x:v>
      </x:c>
      <x:c r="J23" s="32" t="str"/>
    </x:row>
    <x:row r="24" ht="42" customHeight="1">
      <x:c r="A24" s="32" t="str">
        <x:v>Аманов Онгар</x:v>
      </x:c>
      <x:c r="B24" s="32" t="str">
        <x:v>rootToLive</x:v>
      </x:c>
      <x:c r="C24" s="32" t="str">
        <x:v>source_only</x:v>
      </x:c>
      <x:c r="D24" s="32" t="str">
        <x:v>2026-03-11</x:v>
      </x:c>
      <x:c r="E24" s="32" t="n">
        <x:v>8</x:v>
      </x:c>
      <x:c r="F24" s="32" t="str"/>
      <x:c r="G24" s="32" t="str">
        <x:v>Казаэронавигация</x:v>
      </x:c>
      <x:c r="H24" s="32" t="str">
        <x:v>Time Sheet</x:v>
      </x:c>
      <x:c r="I24" s="32" t="n">
        <x:v>333</x:v>
      </x:c>
      <x:c r="J24" s="32" t="str"/>
    </x:row>
    <x:row r="25" ht="42" customHeight="1">
      <x:c r="A25" s="32" t="str">
        <x:v>Аманов Онгар</x:v>
      </x:c>
      <x:c r="B25" s="32" t="str">
        <x:v>rootToLive</x:v>
      </x:c>
      <x:c r="C25" s="32" t="str">
        <x:v>source_only</x:v>
      </x:c>
      <x:c r="D25" s="32" t="str">
        <x:v>2026-03-12</x:v>
      </x:c>
      <x:c r="E25" s="32" t="n">
        <x:v>8</x:v>
      </x:c>
      <x:c r="F25" s="32" t="str"/>
      <x:c r="G25" s="32" t="str">
        <x:v>Казаэронавигация</x:v>
      </x:c>
      <x:c r="H25" s="32" t="str">
        <x:v>Time Sheet</x:v>
      </x:c>
      <x:c r="I25" s="32" t="n">
        <x:v>334</x:v>
      </x:c>
      <x:c r="J25" s="32" t="str"/>
    </x:row>
    <x:row r="26" ht="42" customHeight="1">
      <x:c r="A26" s="32" t="str">
        <x:v>Аманов Онгар</x:v>
      </x:c>
      <x:c r="B26" s="32" t="str">
        <x:v>rootToLive</x:v>
      </x:c>
      <x:c r="C26" s="32" t="str">
        <x:v>source_only</x:v>
      </x:c>
      <x:c r="D26" s="32" t="str">
        <x:v>2026-03-13</x:v>
      </x:c>
      <x:c r="E26" s="32" t="n">
        <x:v>8</x:v>
      </x:c>
      <x:c r="F26" s="32" t="str"/>
      <x:c r="G26" s="32" t="str">
        <x:v>Казаэронавигация</x:v>
      </x:c>
      <x:c r="H26" s="32" t="str">
        <x:v>Time Sheet</x:v>
      </x:c>
      <x:c r="I26" s="32" t="n">
        <x:v>335</x:v>
      </x:c>
      <x:c r="J26" s="32" t="str"/>
    </x:row>
    <x:row r="27" ht="42" customHeight="1">
      <x:c r="A27" s="32" t="str">
        <x:v>Аманов Онгар</x:v>
      </x:c>
      <x:c r="B27" s="32" t="str">
        <x:v>rootToLive</x:v>
      </x:c>
      <x:c r="C27" s="32" t="str">
        <x:v>source_only</x:v>
      </x:c>
      <x:c r="D27" s="32" t="str">
        <x:v>2026-03-16</x:v>
      </x:c>
      <x:c r="E27" s="32" t="n">
        <x:v>8</x:v>
      </x:c>
      <x:c r="F27" s="32" t="str"/>
      <x:c r="G27" s="32" t="str">
        <x:v>Казаэронавигация (НЗС)</x:v>
      </x:c>
      <x:c r="H27" s="32" t="str">
        <x:v>Time Sheet</x:v>
      </x:c>
      <x:c r="I27" s="32" t="n">
        <x:v>336</x:v>
      </x:c>
      <x:c r="J27" s="32" t="str"/>
    </x:row>
    <x:row r="28" ht="42" customHeight="1">
      <x:c r="A28" s="32" t="str">
        <x:v>Аманов Онгар</x:v>
      </x:c>
      <x:c r="B28" s="32" t="str">
        <x:v>rootToLive</x:v>
      </x:c>
      <x:c r="C28" s="32" t="str">
        <x:v>source_only</x:v>
      </x:c>
      <x:c r="D28" s="32" t="str">
        <x:v>2026-03-17</x:v>
      </x:c>
      <x:c r="E28" s="32" t="n">
        <x:v>8</x:v>
      </x:c>
      <x:c r="F28" s="32" t="str"/>
      <x:c r="G28" s="32" t="str">
        <x:v>Казаэронавигация (НЗС)</x:v>
      </x:c>
      <x:c r="H28" s="32" t="str">
        <x:v>Time Sheet</x:v>
      </x:c>
      <x:c r="I28" s="32" t="n">
        <x:v>337</x:v>
      </x:c>
      <x:c r="J28" s="32" t="str"/>
    </x:row>
    <x:row r="29" ht="42" customHeight="1">
      <x:c r="A29" s="32" t="str">
        <x:v>Аманов Онгар</x:v>
      </x:c>
      <x:c r="B29" s="32" t="str">
        <x:v>rootToLive</x:v>
      </x:c>
      <x:c r="C29" s="32" t="str">
        <x:v>source_only</x:v>
      </x:c>
      <x:c r="D29" s="32" t="str">
        <x:v>2026-03-18</x:v>
      </x:c>
      <x:c r="E29" s="32" t="n">
        <x:v>8</x:v>
      </x:c>
      <x:c r="F29" s="32" t="str"/>
      <x:c r="G29" s="32" t="str">
        <x:v>Казаэронавигация (НЗС)</x:v>
      </x:c>
      <x:c r="H29" s="32" t="str">
        <x:v>Time Sheet</x:v>
      </x:c>
      <x:c r="I29" s="32" t="n">
        <x:v>338</x:v>
      </x:c>
      <x:c r="J29" s="32" t="str"/>
    </x:row>
    <x:row r="30" ht="42" customHeight="1">
      <x:c r="A30" s="32" t="str">
        <x:v>Аманов Онгар</x:v>
      </x:c>
      <x:c r="B30" s="32" t="str">
        <x:v>rootToLive</x:v>
      </x:c>
      <x:c r="C30" s="32" t="str">
        <x:v>source_only</x:v>
      </x:c>
      <x:c r="D30" s="32" t="str">
        <x:v>2026-03-19</x:v>
      </x:c>
      <x:c r="E30" s="32" t="n">
        <x:v>8</x:v>
      </x:c>
      <x:c r="F30" s="32" t="str"/>
      <x:c r="G30" s="32" t="str">
        <x:v>Казаэронавигация (НЗС)</x:v>
      </x:c>
      <x:c r="H30" s="32" t="str">
        <x:v>Time Sheet</x:v>
      </x:c>
      <x:c r="I30" s="32" t="n">
        <x:v>339</x:v>
      </x:c>
      <x:c r="J30" s="32" t="str"/>
    </x:row>
    <x:row r="31" ht="42" customHeight="1">
      <x:c r="A31" s="32" t="str">
        <x:v>Аманов Онгар</x:v>
      </x:c>
      <x:c r="B31" s="32" t="str">
        <x:v>rootToLive</x:v>
      </x:c>
      <x:c r="C31" s="32" t="str">
        <x:v>live_only</x:v>
      </x:c>
      <x:c r="D31" s="32" t="str">
        <x:v>2026-06-01</x:v>
      </x:c>
      <x:c r="E31" s="32" t="n">
        <x:v>8</x:v>
      </x:c>
      <x:c r="F31" s="32" t="str">
        <x:v>АО «Шымкентмай» Аудит ФО за 2024 год</x:v>
      </x:c>
      <x:c r="G31" s="32" t="str">
        <x:v>себестоимость</x:v>
      </x:c>
      <x:c r="H31" s="32" t="str">
        <x:v>live batch v3</x:v>
      </x:c>
      <x:c r="I31" s="32" t="n">
        <x:v>12</x:v>
      </x:c>
      <x:c r="J31" s="32" t="str">
        <x:v>submitted</x:v>
      </x:c>
    </x:row>
    <x:row r="32" ht="42" customHeight="1">
      <x:c r="A32" s="32" t="str">
        <x:v>Аманов Онгар</x:v>
      </x:c>
      <x:c r="B32" s="32" t="str">
        <x:v>rootToLive</x:v>
      </x:c>
      <x:c r="C32" s="32" t="str">
        <x:v>live_only</x:v>
      </x:c>
      <x:c r="D32" s="32" t="str">
        <x:v>2026-06-02</x:v>
      </x:c>
      <x:c r="E32" s="32" t="n">
        <x:v>8</x:v>
      </x:c>
      <x:c r="F32" s="32" t="str">
        <x:v>АО «Шымкентмай» Аудит ФО за 2024 год</x:v>
      </x:c>
      <x:c r="G32" s="32" t="str">
        <x:v>Форма 404</x:v>
      </x:c>
      <x:c r="H32" s="32" t="str">
        <x:v>live batch v3</x:v>
      </x:c>
      <x:c r="I32" s="32" t="n">
        <x:v>13</x:v>
      </x:c>
      <x:c r="J32" s="32" t="str">
        <x:v>submitted</x:v>
      </x:c>
    </x:row>
    <x:row r="33" ht="42" customHeight="1">
      <x:c r="A33" s="32" t="str">
        <x:v>Аманов Онгар</x:v>
      </x:c>
      <x:c r="B33" s="32" t="str">
        <x:v>rootToLive</x:v>
      </x:c>
      <x:c r="C33" s="32" t="str">
        <x:v>live_only</x:v>
      </x:c>
      <x:c r="D33" s="32" t="str">
        <x:v>2026-06-03</x:v>
      </x:c>
      <x:c r="E33" s="32" t="n">
        <x:v>8</x:v>
      </x:c>
      <x:c r="F33" s="32" t="str">
        <x:v>АО «Шымкентмай» Аудит ФО за 2024 год</x:v>
      </x:c>
      <x:c r="G33" s="32" t="str">
        <x:v>Форма 404</x:v>
      </x:c>
      <x:c r="H33" s="32" t="str">
        <x:v>live batch v3</x:v>
      </x:c>
      <x:c r="I33" s="32" t="n">
        <x:v>14</x:v>
      </x:c>
      <x:c r="J33" s="32" t="str">
        <x:v>submitted</x:v>
      </x:c>
    </x:row>
    <x:row r="34" ht="42" customHeight="1">
      <x:c r="A34" s="32" t="str">
        <x:v>Аманов Онгар</x:v>
      </x:c>
      <x:c r="B34" s="32" t="str">
        <x:v>rootToLive</x:v>
      </x:c>
      <x:c r="C34" s="32" t="str">
        <x:v>live_only</x:v>
      </x:c>
      <x:c r="D34" s="32" t="str">
        <x:v>2026-03-02</x:v>
      </x:c>
      <x:c r="E34" s="32" t="n">
        <x:v>8</x:v>
      </x:c>
      <x:c r="F34" s="32" t="str">
        <x:v>Аудит ФО за 2025 год РГП на ПХВ "Казаэронавигация"</x:v>
      </x:c>
      <x:c r="G34" s="32" t="str">
        <x:v>Казаэронавигация</x:v>
      </x:c>
      <x:c r="H34" s="32" t="str">
        <x:v>live batch v3</x:v>
      </x:c>
      <x:c r="I34" s="32" t="n">
        <x:v>53</x:v>
      </x:c>
      <x:c r="J34" s="32" t="str">
        <x:v>approved</x:v>
      </x:c>
    </x:row>
    <x:row r="35" ht="42" customHeight="1">
      <x:c r="A35" s="32" t="str">
        <x:v>Аманов Онгар</x:v>
      </x:c>
      <x:c r="B35" s="32" t="str">
        <x:v>rootToLive</x:v>
      </x:c>
      <x:c r="C35" s="32" t="str">
        <x:v>live_only</x:v>
      </x:c>
      <x:c r="D35" s="32" t="str">
        <x:v>2026-03-03</x:v>
      </x:c>
      <x:c r="E35" s="32" t="n">
        <x:v>8</x:v>
      </x:c>
      <x:c r="F35" s="32" t="str">
        <x:v>Аудит ФО за 2025 год РГП на ПХВ "Казаэронавигация"</x:v>
      </x:c>
      <x:c r="G35" s="32" t="str">
        <x:v>Казаэронавигация</x:v>
      </x:c>
      <x:c r="H35" s="32" t="str">
        <x:v>live batch v3</x:v>
      </x:c>
      <x:c r="I35" s="32" t="n">
        <x:v>54</x:v>
      </x:c>
      <x:c r="J35" s="32" t="str">
        <x:v>approved</x:v>
      </x:c>
    </x:row>
    <x:row r="36" ht="42" customHeight="1">
      <x:c r="A36" s="32" t="str">
        <x:v>Аманов Онгар</x:v>
      </x:c>
      <x:c r="B36" s="32" t="str">
        <x:v>rootToLive</x:v>
      </x:c>
      <x:c r="C36" s="32" t="str">
        <x:v>live_only</x:v>
      </x:c>
      <x:c r="D36" s="32" t="str">
        <x:v>2026-03-04</x:v>
      </x:c>
      <x:c r="E36" s="32" t="n">
        <x:v>8</x:v>
      </x:c>
      <x:c r="F36" s="32" t="str">
        <x:v>Аудит ФО за 2025 год РГП на ПХВ "Казаэронавигация"</x:v>
      </x:c>
      <x:c r="G36" s="32" t="str">
        <x:v>Казаэронавигация</x:v>
      </x:c>
      <x:c r="H36" s="32" t="str">
        <x:v>live batch v3</x:v>
      </x:c>
      <x:c r="I36" s="32" t="n">
        <x:v>55</x:v>
      </x:c>
      <x:c r="J36" s="32" t="str">
        <x:v>approved</x:v>
      </x:c>
    </x:row>
    <x:row r="37" ht="42" customHeight="1">
      <x:c r="A37" s="32" t="str">
        <x:v>Аманов Онгар</x:v>
      </x:c>
      <x:c r="B37" s="32" t="str">
        <x:v>rootToLive</x:v>
      </x:c>
      <x:c r="C37" s="32" t="str">
        <x:v>live_only</x:v>
      </x:c>
      <x:c r="D37" s="32" t="str">
        <x:v>2026-03-05</x:v>
      </x:c>
      <x:c r="E37" s="32" t="n">
        <x:v>8</x:v>
      </x:c>
      <x:c r="F37" s="32" t="str">
        <x:v>Аудит ФО за 2025 год РГП на ПХВ "Казаэронавигация"</x:v>
      </x:c>
      <x:c r="G37" s="32" t="str">
        <x:v>Казаэронавигация</x:v>
      </x:c>
      <x:c r="H37" s="32" t="str">
        <x:v>live batch v3</x:v>
      </x:c>
      <x:c r="I37" s="32" t="n">
        <x:v>56</x:v>
      </x:c>
      <x:c r="J37" s="32" t="str">
        <x:v>approved</x:v>
      </x:c>
    </x:row>
    <x:row r="38" ht="42" customHeight="1">
      <x:c r="A38" s="32" t="str">
        <x:v>Аманов Онгар</x:v>
      </x:c>
      <x:c r="B38" s="32" t="str">
        <x:v>rootToLive</x:v>
      </x:c>
      <x:c r="C38" s="32" t="str">
        <x:v>live_only</x:v>
      </x:c>
      <x:c r="D38" s="32" t="str">
        <x:v>2026-03-06</x:v>
      </x:c>
      <x:c r="E38" s="32" t="n">
        <x:v>8</x:v>
      </x:c>
      <x:c r="F38" s="32" t="str">
        <x:v>Аудит ФО за 2025 год РГП на ПХВ "Казаэронавигация"</x:v>
      </x:c>
      <x:c r="G38" s="32" t="str">
        <x:v>Казаэронавигация</x:v>
      </x:c>
      <x:c r="H38" s="32" t="str">
        <x:v>live batch v3</x:v>
      </x:c>
      <x:c r="I38" s="32" t="n">
        <x:v>57</x:v>
      </x:c>
      <x:c r="J38" s="32" t="str">
        <x:v>approved</x:v>
      </x:c>
    </x:row>
    <x:row r="39" ht="42" customHeight="1">
      <x:c r="A39" s="32" t="str">
        <x:v>Аманов Онгар</x:v>
      </x:c>
      <x:c r="B39" s="32" t="str">
        <x:v>rootToLive</x:v>
      </x:c>
      <x:c r="C39" s="32" t="str">
        <x:v>live_only</x:v>
      </x:c>
      <x:c r="D39" s="32" t="str">
        <x:v>2026-03-10</x:v>
      </x:c>
      <x:c r="E39" s="32" t="n">
        <x:v>8</x:v>
      </x:c>
      <x:c r="F39" s="32" t="str">
        <x:v>Аудит ФО за 2025 год РГП на ПХВ "Казаэронавигация"</x:v>
      </x:c>
      <x:c r="G39" s="32" t="str">
        <x:v>Казаэронавигация</x:v>
      </x:c>
      <x:c r="H39" s="32" t="str">
        <x:v>live batch v3</x:v>
      </x:c>
      <x:c r="I39" s="32" t="n">
        <x:v>58</x:v>
      </x:c>
      <x:c r="J39" s="32" t="str">
        <x:v>approved</x:v>
      </x:c>
    </x:row>
    <x:row r="40" ht="42" customHeight="1">
      <x:c r="A40" s="32" t="str">
        <x:v>Аманов Онгар</x:v>
      </x:c>
      <x:c r="B40" s="32" t="str">
        <x:v>rootToLive</x:v>
      </x:c>
      <x:c r="C40" s="32" t="str">
        <x:v>live_only</x:v>
      </x:c>
      <x:c r="D40" s="32" t="str">
        <x:v>2026-03-11</x:v>
      </x:c>
      <x:c r="E40" s="32" t="n">
        <x:v>8</x:v>
      </x:c>
      <x:c r="F40" s="32" t="str">
        <x:v>Аудит ФО за 2025 год РГП на ПХВ "Казаэронавигация"</x:v>
      </x:c>
      <x:c r="G40" s="32" t="str">
        <x:v>Казаэронавигация</x:v>
      </x:c>
      <x:c r="H40" s="32" t="str">
        <x:v>live batch v3</x:v>
      </x:c>
      <x:c r="I40" s="32" t="n">
        <x:v>59</x:v>
      </x:c>
      <x:c r="J40" s="32" t="str">
        <x:v>approved</x:v>
      </x:c>
    </x:row>
    <x:row r="41" ht="42" customHeight="1">
      <x:c r="A41" s="32" t="str">
        <x:v>Аманов Онгар</x:v>
      </x:c>
      <x:c r="B41" s="32" t="str">
        <x:v>rootToLive</x:v>
      </x:c>
      <x:c r="C41" s="32" t="str">
        <x:v>live_only</x:v>
      </x:c>
      <x:c r="D41" s="32" t="str">
        <x:v>2026-03-12</x:v>
      </x:c>
      <x:c r="E41" s="32" t="n">
        <x:v>8</x:v>
      </x:c>
      <x:c r="F41" s="32" t="str">
        <x:v>Аудит ФО за 2025 год РГП на ПХВ "Казаэронавигация"</x:v>
      </x:c>
      <x:c r="G41" s="32" t="str">
        <x:v>Казаэронавигация</x:v>
      </x:c>
      <x:c r="H41" s="32" t="str">
        <x:v>live batch v3</x:v>
      </x:c>
      <x:c r="I41" s="32" t="n">
        <x:v>60</x:v>
      </x:c>
      <x:c r="J41" s="32" t="str">
        <x:v>approved</x:v>
      </x:c>
    </x:row>
    <x:row r="42" ht="42" customHeight="1">
      <x:c r="A42" s="32" t="str">
        <x:v>Аманов Онгар</x:v>
      </x:c>
      <x:c r="B42" s="32" t="str">
        <x:v>rootToLive</x:v>
      </x:c>
      <x:c r="C42" s="32" t="str">
        <x:v>live_only</x:v>
      </x:c>
      <x:c r="D42" s="32" t="str">
        <x:v>2026-03-13</x:v>
      </x:c>
      <x:c r="E42" s="32" t="n">
        <x:v>8</x:v>
      </x:c>
      <x:c r="F42" s="32" t="str">
        <x:v>Аудит ФО за 2025 год РГП на ПХВ "Казаэронавигация"</x:v>
      </x:c>
      <x:c r="G42" s="32" t="str">
        <x:v>Казаэронавигация</x:v>
      </x:c>
      <x:c r="H42" s="32" t="str">
        <x:v>live batch v3</x:v>
      </x:c>
      <x:c r="I42" s="32" t="n">
        <x:v>61</x:v>
      </x:c>
      <x:c r="J42" s="32" t="str">
        <x:v>approved</x:v>
      </x:c>
    </x:row>
    <x:row r="43" ht="42" customHeight="1">
      <x:c r="A43" s="32" t="str">
        <x:v>Аманов Онгар</x:v>
      </x:c>
      <x:c r="B43" s="32" t="str">
        <x:v>rootToLive</x:v>
      </x:c>
      <x:c r="C43" s="32" t="str">
        <x:v>live_only</x:v>
      </x:c>
      <x:c r="D43" s="32" t="str">
        <x:v>2026-03-16</x:v>
      </x:c>
      <x:c r="E43" s="32" t="n">
        <x:v>8</x:v>
      </x:c>
      <x:c r="F43" s="32" t="str">
        <x:v>Аудит ФО за 2025 год РГП на ПХВ "Казаэронавигация"</x:v>
      </x:c>
      <x:c r="G43" s="32" t="str">
        <x:v>Казаэронавигация (НЗС)</x:v>
      </x:c>
      <x:c r="H43" s="32" t="str">
        <x:v>live batch v3</x:v>
      </x:c>
      <x:c r="I43" s="32" t="n">
        <x:v>62</x:v>
      </x:c>
      <x:c r="J43" s="32" t="str">
        <x:v>approved</x:v>
      </x:c>
    </x:row>
    <x:row r="44" ht="42" customHeight="1">
      <x:c r="A44" s="32" t="str">
        <x:v>Аманов Онгар</x:v>
      </x:c>
      <x:c r="B44" s="32" t="str">
        <x:v>rootToLive</x:v>
      </x:c>
      <x:c r="C44" s="32" t="str">
        <x:v>live_only</x:v>
      </x:c>
      <x:c r="D44" s="32" t="str">
        <x:v>2026-03-17</x:v>
      </x:c>
      <x:c r="E44" s="32" t="n">
        <x:v>8</x:v>
      </x:c>
      <x:c r="F44" s="32" t="str">
        <x:v>Аудит ФО за 2025 год РГП на ПХВ "Казаэронавигация"</x:v>
      </x:c>
      <x:c r="G44" s="32" t="str">
        <x:v>Казаэронавигация (НЗС)</x:v>
      </x:c>
      <x:c r="H44" s="32" t="str">
        <x:v>live batch v3</x:v>
      </x:c>
      <x:c r="I44" s="32" t="n">
        <x:v>63</x:v>
      </x:c>
      <x:c r="J44" s="32" t="str">
        <x:v>approved</x:v>
      </x:c>
    </x:row>
    <x:row r="45" ht="42" customHeight="1">
      <x:c r="A45" s="32" t="str">
        <x:v>Аманов Онгар</x:v>
      </x:c>
      <x:c r="B45" s="32" t="str">
        <x:v>rootToLive</x:v>
      </x:c>
      <x:c r="C45" s="32" t="str">
        <x:v>live_only</x:v>
      </x:c>
      <x:c r="D45" s="32" t="str">
        <x:v>2026-03-18</x:v>
      </x:c>
      <x:c r="E45" s="32" t="n">
        <x:v>8</x:v>
      </x:c>
      <x:c r="F45" s="32" t="str">
        <x:v>Аудит ФО за 2025 год РГП на ПХВ "Казаэронавигация"</x:v>
      </x:c>
      <x:c r="G45" s="32" t="str">
        <x:v>Казаэронавигация (НЗС)</x:v>
      </x:c>
      <x:c r="H45" s="32" t="str">
        <x:v>live batch v3</x:v>
      </x:c>
      <x:c r="I45" s="32" t="n">
        <x:v>64</x:v>
      </x:c>
      <x:c r="J45" s="32" t="str">
        <x:v>approved</x:v>
      </x:c>
    </x:row>
    <x:row r="46" ht="42" customHeight="1">
      <x:c r="A46" s="32" t="str">
        <x:v>Аманов Онгар</x:v>
      </x:c>
      <x:c r="B46" s="32" t="str">
        <x:v>rootToLive</x:v>
      </x:c>
      <x:c r="C46" s="32" t="str">
        <x:v>live_only</x:v>
      </x:c>
      <x:c r="D46" s="32" t="str">
        <x:v>2026-03-19</x:v>
      </x:c>
      <x:c r="E46" s="32" t="n">
        <x:v>8</x:v>
      </x:c>
      <x:c r="F46" s="32" t="str">
        <x:v>Аудит ФО за 2025 год РГП на ПХВ "Казаэронавигация"</x:v>
      </x:c>
      <x:c r="G46" s="32" t="str">
        <x:v>Казаэронавигация (НЗС)</x:v>
      </x:c>
      <x:c r="H46" s="32" t="str">
        <x:v>live batch v3</x:v>
      </x:c>
      <x:c r="I46" s="32" t="n">
        <x:v>65</x:v>
      </x:c>
      <x:c r="J46" s="32" t="str">
        <x:v>approved</x:v>
      </x:c>
    </x:row>
    <x:row r="47" ht="42" customHeight="1">
      <x:c r="A47" s="32" t="str">
        <x:v>Аманов Онгар</x:v>
      </x:c>
      <x:c r="B47" s="32" t="str">
        <x:v>rootToLive</x:v>
      </x:c>
      <x:c r="C47" s="32" t="str">
        <x:v>live_only</x:v>
      </x:c>
      <x:c r="D47" s="32" t="str">
        <x:v>2026-05-21</x:v>
      </x:c>
      <x:c r="E47" s="32" t="n">
        <x:v>8</x:v>
      </x:c>
      <x:c r="F47" s="32" t="str">
        <x:v>АО «Шымкентмай» Аудит ФО за 2024 год</x:v>
      </x:c>
      <x:c r="G47" s="32" t="str">
        <x:v>в части запасов без движения</x:v>
      </x:c>
      <x:c r="H47" s="32" t="str">
        <x:v>live batch v3</x:v>
      </x:c>
      <x:c r="I47" s="32" t="n">
        <x:v>104</x:v>
      </x:c>
      <x:c r="J47" s="32" t="str">
        <x:v>approved</x:v>
      </x:c>
    </x:row>
    <x:row r="48" ht="42" customHeight="1">
      <x:c r="A48" s="32" t="str">
        <x:v>Аманов Онгар</x:v>
      </x:c>
      <x:c r="B48" s="32" t="str">
        <x:v>rootToLive</x:v>
      </x:c>
      <x:c r="C48" s="32" t="str">
        <x:v>live_only</x:v>
      </x:c>
      <x:c r="D48" s="32" t="str">
        <x:v>2026-05-22</x:v>
      </x:c>
      <x:c r="E48" s="32" t="n">
        <x:v>8</x:v>
      </x:c>
      <x:c r="F48" s="32" t="str">
        <x:v>АО «Шымкентмай» Аудит ФО за 2024 год</x:v>
      </x:c>
      <x:c r="G48" s="32" t="str">
        <x:v>Доходы от реализации</x:v>
      </x:c>
      <x:c r="H48" s="32" t="str">
        <x:v>live batch v3</x:v>
      </x:c>
      <x:c r="I48" s="32" t="n">
        <x:v>105</x:v>
      </x:c>
      <x:c r="J48" s="32" t="str">
        <x:v>approved</x:v>
      </x:c>
    </x:row>
    <x:row r="49" ht="42" customHeight="1">
      <x:c r="A49" s="32" t="str">
        <x:v>Аманов Онгар</x:v>
      </x:c>
      <x:c r="B49" s="32" t="str">
        <x:v>rootToLive</x:v>
      </x:c>
      <x:c r="C49" s="32" t="str">
        <x:v>live_only</x:v>
      </x:c>
      <x:c r="D49" s="32" t="str">
        <x:v>2026-05-25</x:v>
      </x:c>
      <x:c r="E49" s="32" t="n">
        <x:v>8</x:v>
      </x:c>
      <x:c r="F49" s="32" t="str">
        <x:v>АО «Шымкентмай» Аудит ФО за 2024 год</x:v>
      </x:c>
      <x:c r="G49" s="32" t="str">
        <x:v>Себестоимость</x:v>
      </x:c>
      <x:c r="H49" s="32" t="str">
        <x:v>live batch v3</x:v>
      </x:c>
      <x:c r="I49" s="32" t="n">
        <x:v>106</x:v>
      </x:c>
      <x:c r="J49" s="32" t="str">
        <x:v>approved</x:v>
      </x:c>
    </x:row>
    <x:row r="50" ht="42" customHeight="1">
      <x:c r="A50" s="32" t="str">
        <x:v>Аманов Онгар</x:v>
      </x:c>
      <x:c r="B50" s="32" t="str">
        <x:v>rootToLive</x:v>
      </x:c>
      <x:c r="C50" s="32" t="str">
        <x:v>live_only</x:v>
      </x:c>
      <x:c r="D50" s="32" t="str">
        <x:v>2026-05-26</x:v>
      </x:c>
      <x:c r="E50" s="32" t="n">
        <x:v>8</x:v>
      </x:c>
      <x:c r="F50" s="32" t="str">
        <x:v>АО «Шымкентмай» Аудит ФО за 2024 год</x:v>
      </x:c>
      <x:c r="G50" s="32" t="str">
        <x:v>Себестоимость</x:v>
      </x:c>
      <x:c r="H50" s="32" t="str">
        <x:v>live batch v3</x:v>
      </x:c>
      <x:c r="I50" s="32" t="n">
        <x:v>107</x:v>
      </x:c>
      <x:c r="J50" s="32" t="str">
        <x:v>approved</x:v>
      </x:c>
    </x:row>
    <x:row r="51" ht="42" customHeight="1">
      <x:c r="A51" s="32" t="str">
        <x:v>Аманов Онгар</x:v>
      </x:c>
      <x:c r="B51" s="32" t="str">
        <x:v>rootToLive</x:v>
      </x:c>
      <x:c r="C51" s="32" t="str">
        <x:v>live_only</x:v>
      </x:c>
      <x:c r="D51" s="32" t="str">
        <x:v>2026-05-28</x:v>
      </x:c>
      <x:c r="E51" s="32" t="n">
        <x:v>8</x:v>
      </x:c>
      <x:c r="F51" s="32" t="str">
        <x:v>АО «Шымкентмай» Аудит ФО за 2024 год</x:v>
      </x:c>
      <x:c r="G51" s="32" t="str">
        <x:v>Себестоимость</x:v>
      </x:c>
      <x:c r="H51" s="32" t="str">
        <x:v>live batch v3</x:v>
      </x:c>
      <x:c r="I51" s="32" t="n">
        <x:v>108</x:v>
      </x:c>
      <x:c r="J51" s="32" t="str">
        <x:v>approved</x:v>
      </x:c>
    </x:row>
    <x:row r="52" ht="42" customHeight="1">
      <x:c r="A52" s="32" t="str">
        <x:v>Аманов Онгар</x:v>
      </x:c>
      <x:c r="B52" s="32" t="str">
        <x:v>rootToLive</x:v>
      </x:c>
      <x:c r="C52" s="32" t="str">
        <x:v>live_only</x:v>
      </x:c>
      <x:c r="D52" s="32" t="str">
        <x:v>2026-05-29</x:v>
      </x:c>
      <x:c r="E52" s="32" t="n">
        <x:v>8</x:v>
      </x:c>
      <x:c r="F52" s="32" t="str">
        <x:v>АО «Шымкентмай» Аудит ФО за 2024 год</x:v>
      </x:c>
      <x:c r="G52" s="32" t="str">
        <x:v>Себестоимость</x:v>
      </x:c>
      <x:c r="H52" s="32" t="str">
        <x:v>live batch v3</x:v>
      </x:c>
      <x:c r="I52" s="32" t="n">
        <x:v>109</x:v>
      </x:c>
      <x:c r="J52" s="32" t="str">
        <x:v>approved</x:v>
      </x:c>
    </x:row>
    <x:row r="53" ht="42" customHeight="1">
      <x:c r="A53" s="32" t="str">
        <x:v>Аманов Онгар</x:v>
      </x:c>
      <x:c r="B53" s="32" t="str">
        <x:v>rootToLive</x:v>
      </x:c>
      <x:c r="C53" s="32" t="str">
        <x:v>live_only</x:v>
      </x:c>
      <x:c r="D53" s="32" t="str">
        <x:v>2024-12-04</x:v>
      </x:c>
      <x:c r="E53" s="32" t="n">
        <x:v>8</x:v>
      </x:c>
      <x:c r="F53" s="32" t="str">
        <x:v>ТОО Карат</x:v>
      </x:c>
      <x:c r="G53" s="32" t="str">
        <x:v>Каратон Оперейтинг</x:v>
      </x:c>
      <x:c r="H53" s="32" t="str">
        <x:v>live batch v3</x:v>
      </x:c>
      <x:c r="I53" s="32" t="n">
        <x:v>117</x:v>
      </x:c>
      <x:c r="J53" s="32" t="str">
        <x:v>approved</x:v>
      </x:c>
    </x:row>
    <x:row r="54" ht="42" customHeight="1">
      <x:c r="A54" s="32" t="str">
        <x:v>Аманов Онгар</x:v>
      </x:c>
      <x:c r="B54" s="32" t="str">
        <x:v>rootToLive</x:v>
      </x:c>
      <x:c r="C54" s="32" t="str">
        <x:v>live_only</x:v>
      </x:c>
      <x:c r="D54" s="32" t="str">
        <x:v>2024-12-06</x:v>
      </x:c>
      <x:c r="E54" s="32" t="n">
        <x:v>8</x:v>
      </x:c>
      <x:c r="F54" s="32" t="str">
        <x:v>ТОО Карат</x:v>
      </x:c>
      <x:c r="G54" s="32" t="str">
        <x:v>Каратон Оперейтинг (счет 2610)</x:v>
      </x:c>
      <x:c r="H54" s="32" t="str">
        <x:v>live batch v3</x:v>
      </x:c>
      <x:c r="I54" s="32" t="n">
        <x:v>118</x:v>
      </x:c>
      <x:c r="J54" s="32" t="str">
        <x:v>approved</x:v>
      </x:c>
    </x:row>
    <x:row r="55" ht="42" customHeight="1">
      <x:c r="A55" s="32" t="str">
        <x:v>Аманов Онгар</x:v>
      </x:c>
      <x:c r="B55" s="32" t="str">
        <x:v>rootToLive</x:v>
      </x:c>
      <x:c r="C55" s="32" t="str">
        <x:v>live_only</x:v>
      </x:c>
      <x:c r="D55" s="32" t="str">
        <x:v>2024-12-09</x:v>
      </x:c>
      <x:c r="E55" s="32" t="n">
        <x:v>8</x:v>
      </x:c>
      <x:c r="F55" s="32" t="str">
        <x:v>ТОО Карат</x:v>
      </x:c>
      <x:c r="G55" s="32" t="str">
        <x:v>Каратон Оперейтинг (получены скан первичных документов по запасам и их разбивка)</x:v>
      </x:c>
      <x:c r="H55" s="32" t="str">
        <x:v>live batch v3</x:v>
      </x:c>
      <x:c r="I55" s="32" t="n">
        <x:v>151</x:v>
      </x:c>
      <x:c r="J55" s="32" t="str">
        <x:v>approved</x:v>
      </x:c>
    </x:row>
    <x:row r="56" ht="42" customHeight="1">
      <x:c r="A56" s="32" t="str">
        <x:v>Аманов Онгар</x:v>
      </x:c>
      <x:c r="B56" s="32" t="str">
        <x:v>rootToLive</x:v>
      </x:c>
      <x:c r="C56" s="32" t="str">
        <x:v>live_only</x:v>
      </x:c>
      <x:c r="D56" s="32" t="str">
        <x:v>2024-12-03</x:v>
      </x:c>
      <x:c r="E56" s="32" t="n">
        <x:v>8</x:v>
      </x:c>
      <x:c r="F56" s="32" t="str">
        <x:v>ТОО Карат</x:v>
      </x:c>
      <x:c r="G56" s="32" t="str">
        <x:v>Каратон Оперейтинг</x:v>
      </x:c>
      <x:c r="H56" s="32" t="str">
        <x:v>live batch v3</x:v>
      </x:c>
      <x:c r="I56" s="32" t="n">
        <x:v>154</x:v>
      </x:c>
      <x:c r="J56" s="32" t="str">
        <x:v>approved</x:v>
      </x:c>
    </x:row>
    <x:row r="57" ht="42" customHeight="1">
      <x:c r="A57" s="32" t="str">
        <x:v>Аманов Онгар</x:v>
      </x:c>
      <x:c r="B57" s="32" t="str">
        <x:v>rootToLive</x:v>
      </x:c>
      <x:c r="C57" s="32" t="str">
        <x:v>live_only</x:v>
      </x:c>
      <x:c r="D57" s="32" t="str">
        <x:v>2024-12-11</x:v>
      </x:c>
      <x:c r="E57" s="32" t="n">
        <x:v>8</x:v>
      </x:c>
      <x:c r="F57" s="32" t="str">
        <x:v>ТОО Карат</x:v>
      </x:c>
      <x:c r="G57" s="32" t="str">
        <x:v>Каратон Оперейтинг (получены сканы первичных документов по ОС и их разбивка)</x:v>
      </x:c>
      <x:c r="H57" s="32" t="str">
        <x:v>live batch v3</x:v>
      </x:c>
      <x:c r="I57" s="32" t="n">
        <x:v>165</x:v>
      </x:c>
      <x:c r="J57" s="32" t="str">
        <x:v>approved</x:v>
      </x:c>
    </x:row>
    <x:row r="58" ht="42" customHeight="1">
      <x:c r="A58" s="32" t="str">
        <x:v>Аманов Онгар</x:v>
      </x:c>
      <x:c r="B58" s="32" t="str">
        <x:v>rootToLive</x:v>
      </x:c>
      <x:c r="C58" s="32" t="str">
        <x:v>live_only</x:v>
      </x:c>
      <x:c r="D58" s="32" t="str">
        <x:v>2024-12-05</x:v>
      </x:c>
      <x:c r="E58" s="32" t="n">
        <x:v>8</x:v>
      </x:c>
      <x:c r="F58" s="32" t="str">
        <x:v>ТОО Карат</x:v>
      </x:c>
      <x:c r="G58" s="32" t="str">
        <x:v>Каратон Оперейтинг</x:v>
      </x:c>
      <x:c r="H58" s="32" t="str">
        <x:v>live batch v3</x:v>
      </x:c>
      <x:c r="I58" s="32" t="n">
        <x:v>181</x:v>
      </x:c>
      <x:c r="J58" s="32" t="str">
        <x:v>approved</x:v>
      </x:c>
    </x:row>
    <x:row r="59" ht="42" customHeight="1">
      <x:c r="A59" s="32" t="str">
        <x:v>Аманов Онгар</x:v>
      </x:c>
      <x:c r="B59" s="32" t="str">
        <x:v>rootToLive</x:v>
      </x:c>
      <x:c r="C59" s="32" t="str">
        <x:v>live_only</x:v>
      </x:c>
      <x:c r="D59" s="32" t="str">
        <x:v>2024-12-10</x:v>
      </x:c>
      <x:c r="E59" s="32" t="n">
        <x:v>8</x:v>
      </x:c>
      <x:c r="F59" s="32" t="str">
        <x:v>ТОО Карат</x:v>
      </x:c>
      <x:c r="G59" s="32" t="str">
        <x:v>Каратон Оперейтинг (получены скан первичных документов по НМА и их разбивка)</x:v>
      </x:c>
      <x:c r="H59" s="32" t="str">
        <x:v>live batch v3</x:v>
      </x:c>
      <x:c r="I59" s="32" t="n">
        <x:v>182</x:v>
      </x:c>
      <x:c r="J59" s="32" t="str">
        <x:v>approved</x:v>
      </x:c>
    </x:row>
    <x:row r="60" ht="42" customHeight="1">
      <x:c r="A60" s="32" t="str">
        <x:v>Аманов Онгар</x:v>
      </x:c>
      <x:c r="B60" s="32" t="str">
        <x:v>rootToLive</x:v>
      </x:c>
      <x:c r="C60" s="32" t="str">
        <x:v>live_only</x:v>
      </x:c>
      <x:c r="D60" s="32" t="str">
        <x:v>2025-06-26</x:v>
      </x:c>
      <x:c r="E60" s="32" t="n">
        <x:v>8</x:v>
      </x:c>
      <x:c r="F60" s="32" t="str">
        <x:v>АО «АО «ШалкияЦинк ЛТД» (аудит за 2025-2029гг)</x:v>
      </x:c>
      <x:c r="G60" s="32" t="str">
        <x:v>ШалкияЦинк</x:v>
      </x:c>
      <x:c r="H60" s="32" t="str">
        <x:v>live batch v3</x:v>
      </x:c>
      <x:c r="I60" s="32" t="n">
        <x:v>209</x:v>
      </x:c>
      <x:c r="J60" s="32" t="str">
        <x:v>approved</x:v>
      </x:c>
    </x:row>
    <x:row r="61" ht="42" customHeight="1">
      <x:c r="A61" s="32" t="str">
        <x:v>Аманов Онгар</x:v>
      </x:c>
      <x:c r="B61" s="32" t="str">
        <x:v>rootToLive</x:v>
      </x:c>
      <x:c r="C61" s="32" t="str">
        <x:v>live_only</x:v>
      </x:c>
      <x:c r="D61" s="32" t="str">
        <x:v>2025-06-23</x:v>
      </x:c>
      <x:c r="E61" s="32" t="n">
        <x:v>8</x:v>
      </x:c>
      <x:c r="F61" s="32" t="str">
        <x:v>АО «АО «ШалкияЦинк ЛТД» (аудит за 2025-2029гг)</x:v>
      </x:c>
      <x:c r="G61" s="32" t="str">
        <x:v>ШалкияЦинк</x:v>
      </x:c>
      <x:c r="H61" s="32" t="str">
        <x:v>live batch v3</x:v>
      </x:c>
      <x:c r="I61" s="32" t="n">
        <x:v>213</x:v>
      </x:c>
      <x:c r="J61" s="32" t="str">
        <x:v>approved</x:v>
      </x:c>
    </x:row>
    <x:row r="62" ht="42" customHeight="1">
      <x:c r="A62" s="32" t="str">
        <x:v>Аманов Онгар</x:v>
      </x:c>
      <x:c r="B62" s="32" t="str">
        <x:v>rootToLive</x:v>
      </x:c>
      <x:c r="C62" s="32" t="str">
        <x:v>live_only</x:v>
      </x:c>
      <x:c r="D62" s="32" t="str">
        <x:v>2025-06-25</x:v>
      </x:c>
      <x:c r="E62" s="32" t="n">
        <x:v>8</x:v>
      </x:c>
      <x:c r="F62" s="32" t="str">
        <x:v>АО «АО «ШалкияЦинк ЛТД» (аудит за 2025-2029гг)</x:v>
      </x:c>
      <x:c r="G62" s="32" t="str">
        <x:v>ШалкияЦинк</x:v>
      </x:c>
      <x:c r="H62" s="32" t="str">
        <x:v>live batch v3</x:v>
      </x:c>
      <x:c r="I62" s="32" t="n">
        <x:v>229</x:v>
      </x:c>
      <x:c r="J62" s="32" t="str">
        <x:v>approved</x:v>
      </x:c>
    </x:row>
    <x:row r="63" ht="42" customHeight="1">
      <x:c r="A63" s="32" t="str">
        <x:v>Аманов Онгар</x:v>
      </x:c>
      <x:c r="B63" s="32" t="str">
        <x:v>rootToLive</x:v>
      </x:c>
      <x:c r="C63" s="32" t="str">
        <x:v>live_only</x:v>
      </x:c>
      <x:c r="D63" s="32" t="str">
        <x:v>2025-06-27</x:v>
      </x:c>
      <x:c r="E63" s="32" t="n">
        <x:v>8</x:v>
      </x:c>
      <x:c r="F63" s="32" t="str">
        <x:v>АО «АО «ШалкияЦинк ЛТД» (аудит за 2025-2029гг)</x:v>
      </x:c>
      <x:c r="G63" s="32" t="str">
        <x:v>ШалкияЦинк</x:v>
      </x:c>
      <x:c r="H63" s="32" t="str">
        <x:v>live batch v3</x:v>
      </x:c>
      <x:c r="I63" s="32" t="n">
        <x:v>231</x:v>
      </x:c>
      <x:c r="J63" s="32" t="str">
        <x:v>approved</x:v>
      </x:c>
    </x:row>
    <x:row r="64" ht="42" customHeight="1">
      <x:c r="A64" s="32" t="str">
        <x:v>Аманов Онгар</x:v>
      </x:c>
      <x:c r="B64" s="32" t="str">
        <x:v>rootToLive</x:v>
      </x:c>
      <x:c r="C64" s="32" t="str">
        <x:v>live_only</x:v>
      </x:c>
      <x:c r="D64" s="32" t="str">
        <x:v>2025-06-24</x:v>
      </x:c>
      <x:c r="E64" s="32" t="n">
        <x:v>8</x:v>
      </x:c>
      <x:c r="F64" s="32" t="str">
        <x:v>АО «АО «ШалкияЦинк ЛТД» (аудит за 2025-2029гг)</x:v>
      </x:c>
      <x:c r="G64" s="32" t="str">
        <x:v>ШалкияЦинк</x:v>
      </x:c>
      <x:c r="H64" s="32" t="str">
        <x:v>live batch v3</x:v>
      </x:c>
      <x:c r="I64" s="32" t="n">
        <x:v>260</x:v>
      </x:c>
      <x:c r="J64" s="32" t="str">
        <x:v>approved</x:v>
      </x:c>
    </x:row>
    <x:row r="65" ht="42" customHeight="1">
      <x:c r="A65" s="32" t="str">
        <x:v>Аманов Онгар</x:v>
      </x:c>
      <x:c r="B65" s="32" t="str">
        <x:v>rootToLive</x:v>
      </x:c>
      <x:c r="C65" s="32" t="str">
        <x:v>live_only</x:v>
      </x:c>
      <x:c r="D65" s="32" t="str">
        <x:v>2025-06-30</x:v>
      </x:c>
      <x:c r="E65" s="32" t="n">
        <x:v>8</x:v>
      </x:c>
      <x:c r="F65" s="32" t="str">
        <x:v>АО «АО «ШалкияЦинк ЛТД» (аудит за 2025-2029гг)</x:v>
      </x:c>
      <x:c r="G65" s="32" t="str">
        <x:v>ШалкияЦинк</x:v>
      </x:c>
      <x:c r="H65" s="32" t="str">
        <x:v>live batch v3</x:v>
      </x:c>
      <x:c r="I65" s="32" t="n">
        <x:v>268</x:v>
      </x:c>
      <x:c r="J65" s="32" t="str">
        <x:v>approved</x:v>
      </x:c>
    </x:row>
    <x:row r="66" ht="42" customHeight="1">
      <x:c r="A66" s="32" t="str">
        <x:v>Аманов Онгар</x:v>
      </x:c>
      <x:c r="B66" s="32" t="str">
        <x:v>rawToLive</x:v>
      </x:c>
      <x:c r="C66" s="32" t="str">
        <x:v>source_only</x:v>
      </x:c>
      <x:c r="D66" s="32" t="str">
        <x:v>2024-12-03</x:v>
      </x:c>
      <x:c r="E66" s="32" t="n">
        <x:v>8</x:v>
      </x:c>
      <x:c r="F66" s="32" t="str"/>
      <x:c r="G66" s="32" t="str">
        <x:v>Каратон Оперейтинг</x:v>
      </x:c>
      <x:c r="H66" s="32" t="str">
        <x:v>Time Sheet</x:v>
      </x:c>
      <x:c r="I66" s="32" t="n">
        <x:v>31</x:v>
      </x:c>
      <x:c r="J66" s="32" t="str"/>
    </x:row>
    <x:row r="67" ht="42" customHeight="1">
      <x:c r="A67" s="32" t="str">
        <x:v>Аманов Онгар</x:v>
      </x:c>
      <x:c r="B67" s="32" t="str">
        <x:v>rawToLive</x:v>
      </x:c>
      <x:c r="C67" s="32" t="str">
        <x:v>source_only</x:v>
      </x:c>
      <x:c r="D67" s="32" t="str">
        <x:v>2024-12-04</x:v>
      </x:c>
      <x:c r="E67" s="32" t="n">
        <x:v>8</x:v>
      </x:c>
      <x:c r="F67" s="32" t="str"/>
      <x:c r="G67" s="32" t="str">
        <x:v>Каратон Оперейтинг</x:v>
      </x:c>
      <x:c r="H67" s="32" t="str">
        <x:v>Time Sheet</x:v>
      </x:c>
      <x:c r="I67" s="32" t="n">
        <x:v>32</x:v>
      </x:c>
      <x:c r="J67" s="32" t="str"/>
    </x:row>
    <x:row r="68" ht="42" customHeight="1">
      <x:c r="A68" s="32" t="str">
        <x:v>Аманов Онгар</x:v>
      </x:c>
      <x:c r="B68" s="32" t="str">
        <x:v>rawToLive</x:v>
      </x:c>
      <x:c r="C68" s="32" t="str">
        <x:v>source_only</x:v>
      </x:c>
      <x:c r="D68" s="32" t="str">
        <x:v>2024-12-05</x:v>
      </x:c>
      <x:c r="E68" s="32" t="n">
        <x:v>8</x:v>
      </x:c>
      <x:c r="F68" s="32" t="str"/>
      <x:c r="G68" s="32" t="str">
        <x:v>Каратон Оперейтинг</x:v>
      </x:c>
      <x:c r="H68" s="32" t="str">
        <x:v>Time Sheet</x:v>
      </x:c>
      <x:c r="I68" s="32" t="n">
        <x:v>33</x:v>
      </x:c>
      <x:c r="J68" s="32" t="str"/>
    </x:row>
    <x:row r="69" ht="42" customHeight="1">
      <x:c r="A69" s="32" t="str">
        <x:v>Аманов Онгар</x:v>
      </x:c>
      <x:c r="B69" s="32" t="str">
        <x:v>rawToLive</x:v>
      </x:c>
      <x:c r="C69" s="32" t="str">
        <x:v>source_only</x:v>
      </x:c>
      <x:c r="D69" s="32" t="str">
        <x:v>2024-12-06</x:v>
      </x:c>
      <x:c r="E69" s="32" t="n">
        <x:v>8</x:v>
      </x:c>
      <x:c r="F69" s="32" t="str"/>
      <x:c r="G69" s="32" t="str">
        <x:v>Каратон Оперейтинг (счет 2610)</x:v>
      </x:c>
      <x:c r="H69" s="32" t="str">
        <x:v>Time Sheet</x:v>
      </x:c>
      <x:c r="I69" s="32" t="n">
        <x:v>34</x:v>
      </x:c>
      <x:c r="J69" s="32" t="str"/>
    </x:row>
    <x:row r="70" ht="42" customHeight="1">
      <x:c r="A70" s="32" t="str">
        <x:v>Аманов Онгар</x:v>
      </x:c>
      <x:c r="B70" s="32" t="str">
        <x:v>rawToLive</x:v>
      </x:c>
      <x:c r="C70" s="32" t="str">
        <x:v>source_only</x:v>
      </x:c>
      <x:c r="D70" s="32" t="str">
        <x:v>2024-12-09</x:v>
      </x:c>
      <x:c r="E70" s="32" t="n">
        <x:v>8</x:v>
      </x:c>
      <x:c r="F70" s="32" t="str"/>
      <x:c r="G70" s="32" t="str">
        <x:v>Каратон Оперейтинг (получены скан первичных документов по запасам и их разбивка)</x:v>
      </x:c>
      <x:c r="H70" s="32" t="str">
        <x:v>Time Sheet</x:v>
      </x:c>
      <x:c r="I70" s="32" t="n">
        <x:v>35</x:v>
      </x:c>
      <x:c r="J70" s="32" t="str"/>
    </x:row>
    <x:row r="71" ht="42" customHeight="1">
      <x:c r="A71" s="32" t="str">
        <x:v>Аманов Онгар</x:v>
      </x:c>
      <x:c r="B71" s="32" t="str">
        <x:v>rawToLive</x:v>
      </x:c>
      <x:c r="C71" s="32" t="str">
        <x:v>source_only</x:v>
      </x:c>
      <x:c r="D71" s="32" t="str">
        <x:v>2024-12-10</x:v>
      </x:c>
      <x:c r="E71" s="32" t="n">
        <x:v>8</x:v>
      </x:c>
      <x:c r="F71" s="32" t="str"/>
      <x:c r="G71" s="32" t="str">
        <x:v>Каратон Оперейтинг (получены скан первичных документов по НМА и их разбивка)</x:v>
      </x:c>
      <x:c r="H71" s="32" t="str">
        <x:v>Time Sheet</x:v>
      </x:c>
      <x:c r="I71" s="32" t="n">
        <x:v>36</x:v>
      </x:c>
      <x:c r="J71" s="32" t="str"/>
    </x:row>
    <x:row r="72" ht="42" customHeight="1">
      <x:c r="A72" s="32" t="str">
        <x:v>Аманов Онгар</x:v>
      </x:c>
      <x:c r="B72" s="32" t="str">
        <x:v>rawToLive</x:v>
      </x:c>
      <x:c r="C72" s="32" t="str">
        <x:v>source_only</x:v>
      </x:c>
      <x:c r="D72" s="32" t="str">
        <x:v>2024-12-11</x:v>
      </x:c>
      <x:c r="E72" s="32" t="n">
        <x:v>8</x:v>
      </x:c>
      <x:c r="F72" s="32" t="str"/>
      <x:c r="G72" s="32" t="str">
        <x:v>Каратон Оперейтинг (получены сканы первичных документов по ОС и их разбивка)</x:v>
      </x:c>
      <x:c r="H72" s="32" t="str">
        <x:v>Time Sheet</x:v>
      </x:c>
      <x:c r="I72" s="32" t="n">
        <x:v>37</x:v>
      </x:c>
      <x:c r="J72" s="32" t="str"/>
    </x:row>
    <x:row r="73" ht="42" customHeight="1">
      <x:c r="A73" s="32" t="str">
        <x:v>Аманов Онгар</x:v>
      </x:c>
      <x:c r="B73" s="32" t="str">
        <x:v>rawToLive</x:v>
      </x:c>
      <x:c r="C73" s="32" t="str">
        <x:v>source_only</x:v>
      </x:c>
      <x:c r="D73" s="32" t="str">
        <x:v>2025-06-23</x:v>
      </x:c>
      <x:c r="E73" s="32" t="n">
        <x:v>8</x:v>
      </x:c>
      <x:c r="F73" s="32" t="str"/>
      <x:c r="G73" s="32" t="str">
        <x:v>ШалкияЦинк</x:v>
      </x:c>
      <x:c r="H73" s="32" t="str">
        <x:v>Time Sheet</x:v>
      </x:c>
      <x:c r="I73" s="32" t="n">
        <x:v>164</x:v>
      </x:c>
      <x:c r="J73" s="32" t="str"/>
    </x:row>
    <x:row r="74" ht="42" customHeight="1">
      <x:c r="A74" s="32" t="str">
        <x:v>Аманов Онгар</x:v>
      </x:c>
      <x:c r="B74" s="32" t="str">
        <x:v>rawToLive</x:v>
      </x:c>
      <x:c r="C74" s="32" t="str">
        <x:v>source_only</x:v>
      </x:c>
      <x:c r="D74" s="32" t="str">
        <x:v>2025-06-24</x:v>
      </x:c>
      <x:c r="E74" s="32" t="n">
        <x:v>8</x:v>
      </x:c>
      <x:c r="F74" s="32" t="str"/>
      <x:c r="G74" s="32" t="str">
        <x:v>ШалкияЦинк</x:v>
      </x:c>
      <x:c r="H74" s="32" t="str">
        <x:v>Time Sheet</x:v>
      </x:c>
      <x:c r="I74" s="32" t="n">
        <x:v>165</x:v>
      </x:c>
      <x:c r="J74" s="32" t="str"/>
    </x:row>
    <x:row r="75" ht="42" customHeight="1">
      <x:c r="A75" s="32" t="str">
        <x:v>Аманов Онгар</x:v>
      </x:c>
      <x:c r="B75" s="32" t="str">
        <x:v>rawToLive</x:v>
      </x:c>
      <x:c r="C75" s="32" t="str">
        <x:v>source_only</x:v>
      </x:c>
      <x:c r="D75" s="32" t="str">
        <x:v>2025-06-25</x:v>
      </x:c>
      <x:c r="E75" s="32" t="n">
        <x:v>8</x:v>
      </x:c>
      <x:c r="F75" s="32" t="str"/>
      <x:c r="G75" s="32" t="str">
        <x:v>ШалкияЦинк</x:v>
      </x:c>
      <x:c r="H75" s="32" t="str">
        <x:v>Time Sheet</x:v>
      </x:c>
      <x:c r="I75" s="32" t="n">
        <x:v>166</x:v>
      </x:c>
      <x:c r="J75" s="32" t="str"/>
    </x:row>
    <x:row r="76" ht="42" customHeight="1">
      <x:c r="A76" s="32" t="str">
        <x:v>Аманов Онгар</x:v>
      </x:c>
      <x:c r="B76" s="32" t="str">
        <x:v>rawToLive</x:v>
      </x:c>
      <x:c r="C76" s="32" t="str">
        <x:v>source_only</x:v>
      </x:c>
      <x:c r="D76" s="32" t="str">
        <x:v>2025-06-26</x:v>
      </x:c>
      <x:c r="E76" s="32" t="n">
        <x:v>8</x:v>
      </x:c>
      <x:c r="F76" s="32" t="str"/>
      <x:c r="G76" s="32" t="str">
        <x:v>ШалкияЦинк</x:v>
      </x:c>
      <x:c r="H76" s="32" t="str">
        <x:v>Time Sheet</x:v>
      </x:c>
      <x:c r="I76" s="32" t="n">
        <x:v>167</x:v>
      </x:c>
      <x:c r="J76" s="32" t="str"/>
    </x:row>
    <x:row r="77" ht="42" customHeight="1">
      <x:c r="A77" s="32" t="str">
        <x:v>Аманов Онгар</x:v>
      </x:c>
      <x:c r="B77" s="32" t="str">
        <x:v>rawToLive</x:v>
      </x:c>
      <x:c r="C77" s="32" t="str">
        <x:v>source_only</x:v>
      </x:c>
      <x:c r="D77" s="32" t="str">
        <x:v>2025-06-27</x:v>
      </x:c>
      <x:c r="E77" s="32" t="n">
        <x:v>8</x:v>
      </x:c>
      <x:c r="F77" s="32" t="str"/>
      <x:c r="G77" s="32" t="str">
        <x:v>ШалкияЦинк</x:v>
      </x:c>
      <x:c r="H77" s="32" t="str">
        <x:v>Time Sheet</x:v>
      </x:c>
      <x:c r="I77" s="32" t="n">
        <x:v>168</x:v>
      </x:c>
      <x:c r="J77" s="32" t="str"/>
    </x:row>
    <x:row r="78" ht="42" customHeight="1">
      <x:c r="A78" s="32" t="str">
        <x:v>Аманов Онгар</x:v>
      </x:c>
      <x:c r="B78" s="32" t="str">
        <x:v>rawToLive</x:v>
      </x:c>
      <x:c r="C78" s="32" t="str">
        <x:v>source_only</x:v>
      </x:c>
      <x:c r="D78" s="32" t="str">
        <x:v>2025-06-30</x:v>
      </x:c>
      <x:c r="E78" s="32" t="n">
        <x:v>8</x:v>
      </x:c>
      <x:c r="F78" s="32" t="str"/>
      <x:c r="G78" s="32" t="str">
        <x:v>ШалкияЦинк</x:v>
      </x:c>
      <x:c r="H78" s="32" t="str">
        <x:v>Time Sheet</x:v>
      </x:c>
      <x:c r="I78" s="32" t="n">
        <x:v>169</x:v>
      </x:c>
      <x:c r="J78" s="32" t="str"/>
    </x:row>
    <x:row r="79" ht="42" customHeight="1">
      <x:c r="A79" s="32" t="str">
        <x:v>Аманов Онгар</x:v>
      </x:c>
      <x:c r="B79" s="32" t="str">
        <x:v>rawToLive</x:v>
      </x:c>
      <x:c r="C79" s="32" t="str">
        <x:v>source_only</x:v>
      </x:c>
      <x:c r="D79" s="32" t="str">
        <x:v>2026-03-02</x:v>
      </x:c>
      <x:c r="E79" s="32" t="n">
        <x:v>8</x:v>
      </x:c>
      <x:c r="F79" s="32" t="str"/>
      <x:c r="G79" s="32" t="str">
        <x:v>Казаэронавигация</x:v>
      </x:c>
      <x:c r="H79" s="32" t="str">
        <x:v>Time Sheet</x:v>
      </x:c>
      <x:c r="I79" s="32" t="n">
        <x:v>327</x:v>
      </x:c>
      <x:c r="J79" s="32" t="str"/>
    </x:row>
    <x:row r="80" ht="42" customHeight="1">
      <x:c r="A80" s="32" t="str">
        <x:v>Аманов Онгар</x:v>
      </x:c>
      <x:c r="B80" s="32" t="str">
        <x:v>rawToLive</x:v>
      </x:c>
      <x:c r="C80" s="32" t="str">
        <x:v>source_only</x:v>
      </x:c>
      <x:c r="D80" s="32" t="str">
        <x:v>2026-03-03</x:v>
      </x:c>
      <x:c r="E80" s="32" t="n">
        <x:v>8</x:v>
      </x:c>
      <x:c r="F80" s="32" t="str"/>
      <x:c r="G80" s="32" t="str">
        <x:v>Казаэронавигация</x:v>
      </x:c>
      <x:c r="H80" s="32" t="str">
        <x:v>Time Sheet</x:v>
      </x:c>
      <x:c r="I80" s="32" t="n">
        <x:v>328</x:v>
      </x:c>
      <x:c r="J80" s="32" t="str"/>
    </x:row>
    <x:row r="81" ht="42" customHeight="1">
      <x:c r="A81" s="32" t="str">
        <x:v>Аманов Онгар</x:v>
      </x:c>
      <x:c r="B81" s="32" t="str">
        <x:v>rawToLive</x:v>
      </x:c>
      <x:c r="C81" s="32" t="str">
        <x:v>source_only</x:v>
      </x:c>
      <x:c r="D81" s="32" t="str">
        <x:v>2026-03-04</x:v>
      </x:c>
      <x:c r="E81" s="32" t="n">
        <x:v>8</x:v>
      </x:c>
      <x:c r="F81" s="32" t="str"/>
      <x:c r="G81" s="32" t="str">
        <x:v>Казаэронавигация</x:v>
      </x:c>
      <x:c r="H81" s="32" t="str">
        <x:v>Time Sheet</x:v>
      </x:c>
      <x:c r="I81" s="32" t="n">
        <x:v>329</x:v>
      </x:c>
      <x:c r="J81" s="32" t="str"/>
    </x:row>
    <x:row r="82" ht="42" customHeight="1">
      <x:c r="A82" s="32" t="str">
        <x:v>Аманов Онгар</x:v>
      </x:c>
      <x:c r="B82" s="32" t="str">
        <x:v>rawToLive</x:v>
      </x:c>
      <x:c r="C82" s="32" t="str">
        <x:v>source_only</x:v>
      </x:c>
      <x:c r="D82" s="32" t="str">
        <x:v>2026-03-05</x:v>
      </x:c>
      <x:c r="E82" s="32" t="n">
        <x:v>8</x:v>
      </x:c>
      <x:c r="F82" s="32" t="str"/>
      <x:c r="G82" s="32" t="str">
        <x:v>Казаэронавигация</x:v>
      </x:c>
      <x:c r="H82" s="32" t="str">
        <x:v>Time Sheet</x:v>
      </x:c>
      <x:c r="I82" s="32" t="n">
        <x:v>330</x:v>
      </x:c>
      <x:c r="J82" s="32" t="str"/>
    </x:row>
    <x:row r="83" ht="42" customHeight="1">
      <x:c r="A83" s="32" t="str">
        <x:v>Аманов Онгар</x:v>
      </x:c>
      <x:c r="B83" s="32" t="str">
        <x:v>rawToLive</x:v>
      </x:c>
      <x:c r="C83" s="32" t="str">
        <x:v>source_only</x:v>
      </x:c>
      <x:c r="D83" s="32" t="str">
        <x:v>2026-03-06</x:v>
      </x:c>
      <x:c r="E83" s="32" t="n">
        <x:v>8</x:v>
      </x:c>
      <x:c r="F83" s="32" t="str"/>
      <x:c r="G83" s="32" t="str">
        <x:v>Казаэронавигация</x:v>
      </x:c>
      <x:c r="H83" s="32" t="str">
        <x:v>Time Sheet</x:v>
      </x:c>
      <x:c r="I83" s="32" t="n">
        <x:v>331</x:v>
      </x:c>
      <x:c r="J83" s="32" t="str"/>
    </x:row>
    <x:row r="84" ht="42" customHeight="1">
      <x:c r="A84" s="32" t="str">
        <x:v>Аманов Онгар</x:v>
      </x:c>
      <x:c r="B84" s="32" t="str">
        <x:v>rawToLive</x:v>
      </x:c>
      <x:c r="C84" s="32" t="str">
        <x:v>source_only</x:v>
      </x:c>
      <x:c r="D84" s="32" t="str">
        <x:v>2026-03-10</x:v>
      </x:c>
      <x:c r="E84" s="32" t="n">
        <x:v>8</x:v>
      </x:c>
      <x:c r="F84" s="32" t="str"/>
      <x:c r="G84" s="32" t="str">
        <x:v>Казаэронавигация</x:v>
      </x:c>
      <x:c r="H84" s="32" t="str">
        <x:v>Time Sheet</x:v>
      </x:c>
      <x:c r="I84" s="32" t="n">
        <x:v>332</x:v>
      </x:c>
      <x:c r="J84" s="32" t="str"/>
    </x:row>
    <x:row r="85" ht="42" customHeight="1">
      <x:c r="A85" s="32" t="str">
        <x:v>Аманов Онгар</x:v>
      </x:c>
      <x:c r="B85" s="32" t="str">
        <x:v>rawToLive</x:v>
      </x:c>
      <x:c r="C85" s="32" t="str">
        <x:v>source_only</x:v>
      </x:c>
      <x:c r="D85" s="32" t="str">
        <x:v>2026-03-11</x:v>
      </x:c>
      <x:c r="E85" s="32" t="n">
        <x:v>8</x:v>
      </x:c>
      <x:c r="F85" s="32" t="str"/>
      <x:c r="G85" s="32" t="str">
        <x:v>Казаэронавигация</x:v>
      </x:c>
      <x:c r="H85" s="32" t="str">
        <x:v>Time Sheet</x:v>
      </x:c>
      <x:c r="I85" s="32" t="n">
        <x:v>333</x:v>
      </x:c>
      <x:c r="J85" s="32" t="str"/>
    </x:row>
    <x:row r="86" ht="42" customHeight="1">
      <x:c r="A86" s="32" t="str">
        <x:v>Аманов Онгар</x:v>
      </x:c>
      <x:c r="B86" s="32" t="str">
        <x:v>rawToLive</x:v>
      </x:c>
      <x:c r="C86" s="32" t="str">
        <x:v>source_only</x:v>
      </x:c>
      <x:c r="D86" s="32" t="str">
        <x:v>2026-03-12</x:v>
      </x:c>
      <x:c r="E86" s="32" t="n">
        <x:v>8</x:v>
      </x:c>
      <x:c r="F86" s="32" t="str"/>
      <x:c r="G86" s="32" t="str">
        <x:v>Казаэронавигация</x:v>
      </x:c>
      <x:c r="H86" s="32" t="str">
        <x:v>Time Sheet</x:v>
      </x:c>
      <x:c r="I86" s="32" t="n">
        <x:v>334</x:v>
      </x:c>
      <x:c r="J86" s="32" t="str"/>
    </x:row>
    <x:row r="87" ht="42" customHeight="1">
      <x:c r="A87" s="32" t="str">
        <x:v>Аманов Онгар</x:v>
      </x:c>
      <x:c r="B87" s="32" t="str">
        <x:v>rawToLive</x:v>
      </x:c>
      <x:c r="C87" s="32" t="str">
        <x:v>source_only</x:v>
      </x:c>
      <x:c r="D87" s="32" t="str">
        <x:v>2026-03-13</x:v>
      </x:c>
      <x:c r="E87" s="32" t="n">
        <x:v>8</x:v>
      </x:c>
      <x:c r="F87" s="32" t="str"/>
      <x:c r="G87" s="32" t="str">
        <x:v>Казаэронавигация</x:v>
      </x:c>
      <x:c r="H87" s="32" t="str">
        <x:v>Time Sheet</x:v>
      </x:c>
      <x:c r="I87" s="32" t="n">
        <x:v>335</x:v>
      </x:c>
      <x:c r="J87" s="32" t="str"/>
    </x:row>
    <x:row r="88" ht="42" customHeight="1">
      <x:c r="A88" s="32" t="str">
        <x:v>Аманов Онгар</x:v>
      </x:c>
      <x:c r="B88" s="32" t="str">
        <x:v>rawToLive</x:v>
      </x:c>
      <x:c r="C88" s="32" t="str">
        <x:v>source_only</x:v>
      </x:c>
      <x:c r="D88" s="32" t="str">
        <x:v>2026-03-16</x:v>
      </x:c>
      <x:c r="E88" s="32" t="n">
        <x:v>8</x:v>
      </x:c>
      <x:c r="F88" s="32" t="str"/>
      <x:c r="G88" s="32" t="str">
        <x:v>Казаэронавигация (НЗС)</x:v>
      </x:c>
      <x:c r="H88" s="32" t="str">
        <x:v>Time Sheet</x:v>
      </x:c>
      <x:c r="I88" s="32" t="n">
        <x:v>336</x:v>
      </x:c>
      <x:c r="J88" s="32" t="str"/>
    </x:row>
    <x:row r="89" ht="42" customHeight="1">
      <x:c r="A89" s="32" t="str">
        <x:v>Аманов Онгар</x:v>
      </x:c>
      <x:c r="B89" s="32" t="str">
        <x:v>rawToLive</x:v>
      </x:c>
      <x:c r="C89" s="32" t="str">
        <x:v>source_only</x:v>
      </x:c>
      <x:c r="D89" s="32" t="str">
        <x:v>2026-03-17</x:v>
      </x:c>
      <x:c r="E89" s="32" t="n">
        <x:v>8</x:v>
      </x:c>
      <x:c r="F89" s="32" t="str"/>
      <x:c r="G89" s="32" t="str">
        <x:v>Казаэронавигация (НЗС)</x:v>
      </x:c>
      <x:c r="H89" s="32" t="str">
        <x:v>Time Sheet</x:v>
      </x:c>
      <x:c r="I89" s="32" t="n">
        <x:v>337</x:v>
      </x:c>
      <x:c r="J89" s="32" t="str"/>
    </x:row>
    <x:row r="90" ht="42" customHeight="1">
      <x:c r="A90" s="32" t="str">
        <x:v>Аманов Онгар</x:v>
      </x:c>
      <x:c r="B90" s="32" t="str">
        <x:v>rawToLive</x:v>
      </x:c>
      <x:c r="C90" s="32" t="str">
        <x:v>source_only</x:v>
      </x:c>
      <x:c r="D90" s="32" t="str">
        <x:v>2026-03-18</x:v>
      </x:c>
      <x:c r="E90" s="32" t="n">
        <x:v>8</x:v>
      </x:c>
      <x:c r="F90" s="32" t="str"/>
      <x:c r="G90" s="32" t="str">
        <x:v>Казаэронавигация (НЗС)</x:v>
      </x:c>
      <x:c r="H90" s="32" t="str">
        <x:v>Time Sheet</x:v>
      </x:c>
      <x:c r="I90" s="32" t="n">
        <x:v>338</x:v>
      </x:c>
      <x:c r="J90" s="32" t="str"/>
    </x:row>
    <x:row r="91" ht="42" customHeight="1">
      <x:c r="A91" s="32" t="str">
        <x:v>Аманов Онгар</x:v>
      </x:c>
      <x:c r="B91" s="32" t="str">
        <x:v>rawToLive</x:v>
      </x:c>
      <x:c r="C91" s="32" t="str">
        <x:v>source_only</x:v>
      </x:c>
      <x:c r="D91" s="32" t="str">
        <x:v>2026-03-19</x:v>
      </x:c>
      <x:c r="E91" s="32" t="n">
        <x:v>8</x:v>
      </x:c>
      <x:c r="F91" s="32" t="str"/>
      <x:c r="G91" s="32" t="str">
        <x:v>Казаэронавигация (НЗС)</x:v>
      </x:c>
      <x:c r="H91" s="32" t="str">
        <x:v>Time Sheet</x:v>
      </x:c>
      <x:c r="I91" s="32" t="n">
        <x:v>339</x:v>
      </x:c>
      <x:c r="J91" s="32" t="str"/>
    </x:row>
    <x:row r="92" ht="42" customHeight="1">
      <x:c r="A92" s="32" t="str">
        <x:v>Аманов Онгар</x:v>
      </x:c>
      <x:c r="B92" s="32" t="str">
        <x:v>rawToLive</x:v>
      </x:c>
      <x:c r="C92" s="32" t="str">
        <x:v>live_only</x:v>
      </x:c>
      <x:c r="D92" s="32" t="str">
        <x:v>2026-06-01</x:v>
      </x:c>
      <x:c r="E92" s="32" t="n">
        <x:v>8</x:v>
      </x:c>
      <x:c r="F92" s="32" t="str">
        <x:v>АО «Шымкентмай» Аудит ФО за 2024 год</x:v>
      </x:c>
      <x:c r="G92" s="32" t="str">
        <x:v>себестоимость</x:v>
      </x:c>
      <x:c r="H92" s="32" t="str">
        <x:v>live batch v3</x:v>
      </x:c>
      <x:c r="I92" s="32" t="n">
        <x:v>12</x:v>
      </x:c>
      <x:c r="J92" s="32" t="str">
        <x:v>submitted</x:v>
      </x:c>
    </x:row>
    <x:row r="93" ht="42" customHeight="1">
      <x:c r="A93" s="32" t="str">
        <x:v>Аманов Онгар</x:v>
      </x:c>
      <x:c r="B93" s="32" t="str">
        <x:v>rawToLive</x:v>
      </x:c>
      <x:c r="C93" s="32" t="str">
        <x:v>live_only</x:v>
      </x:c>
      <x:c r="D93" s="32" t="str">
        <x:v>2026-06-02</x:v>
      </x:c>
      <x:c r="E93" s="32" t="n">
        <x:v>8</x:v>
      </x:c>
      <x:c r="F93" s="32" t="str">
        <x:v>АО «Шымкентмай» Аудит ФО за 2024 год</x:v>
      </x:c>
      <x:c r="G93" s="32" t="str">
        <x:v>Форма 404</x:v>
      </x:c>
      <x:c r="H93" s="32" t="str">
        <x:v>live batch v3</x:v>
      </x:c>
      <x:c r="I93" s="32" t="n">
        <x:v>13</x:v>
      </x:c>
      <x:c r="J93" s="32" t="str">
        <x:v>submitted</x:v>
      </x:c>
    </x:row>
    <x:row r="94" ht="42" customHeight="1">
      <x:c r="A94" s="32" t="str">
        <x:v>Аманов Онгар</x:v>
      </x:c>
      <x:c r="B94" s="32" t="str">
        <x:v>rawToLive</x:v>
      </x:c>
      <x:c r="C94" s="32" t="str">
        <x:v>live_only</x:v>
      </x:c>
      <x:c r="D94" s="32" t="str">
        <x:v>2026-06-03</x:v>
      </x:c>
      <x:c r="E94" s="32" t="n">
        <x:v>8</x:v>
      </x:c>
      <x:c r="F94" s="32" t="str">
        <x:v>АО «Шымкентмай» Аудит ФО за 2024 год</x:v>
      </x:c>
      <x:c r="G94" s="32" t="str">
        <x:v>Форма 404</x:v>
      </x:c>
      <x:c r="H94" s="32" t="str">
        <x:v>live batch v3</x:v>
      </x:c>
      <x:c r="I94" s="32" t="n">
        <x:v>14</x:v>
      </x:c>
      <x:c r="J94" s="32" t="str">
        <x:v>submitted</x:v>
      </x:c>
    </x:row>
    <x:row r="95" ht="42" customHeight="1">
      <x:c r="A95" s="32" t="str">
        <x:v>Аманов Онгар</x:v>
      </x:c>
      <x:c r="B95" s="32" t="str">
        <x:v>rawToLive</x:v>
      </x:c>
      <x:c r="C95" s="32" t="str">
        <x:v>live_only</x:v>
      </x:c>
      <x:c r="D95" s="32" t="str">
        <x:v>2026-03-02</x:v>
      </x:c>
      <x:c r="E95" s="32" t="n">
        <x:v>8</x:v>
      </x:c>
      <x:c r="F95" s="32" t="str">
        <x:v>Аудит ФО за 2025 год РГП на ПХВ "Казаэронавигация"</x:v>
      </x:c>
      <x:c r="G95" s="32" t="str">
        <x:v>Казаэронавигация</x:v>
      </x:c>
      <x:c r="H95" s="32" t="str">
        <x:v>live batch v3</x:v>
      </x:c>
      <x:c r="I95" s="32" t="n">
        <x:v>53</x:v>
      </x:c>
      <x:c r="J95" s="32" t="str">
        <x:v>approved</x:v>
      </x:c>
    </x:row>
    <x:row r="96" ht="42" customHeight="1">
      <x:c r="A96" s="32" t="str">
        <x:v>Аманов Онгар</x:v>
      </x:c>
      <x:c r="B96" s="32" t="str">
        <x:v>rawToLive</x:v>
      </x:c>
      <x:c r="C96" s="32" t="str">
        <x:v>live_only</x:v>
      </x:c>
      <x:c r="D96" s="32" t="str">
        <x:v>2026-03-03</x:v>
      </x:c>
      <x:c r="E96" s="32" t="n">
        <x:v>8</x:v>
      </x:c>
      <x:c r="F96" s="32" t="str">
        <x:v>Аудит ФО за 2025 год РГП на ПХВ "Казаэронавигация"</x:v>
      </x:c>
      <x:c r="G96" s="32" t="str">
        <x:v>Казаэронавигация</x:v>
      </x:c>
      <x:c r="H96" s="32" t="str">
        <x:v>live batch v3</x:v>
      </x:c>
      <x:c r="I96" s="32" t="n">
        <x:v>54</x:v>
      </x:c>
      <x:c r="J96" s="32" t="str">
        <x:v>approved</x:v>
      </x:c>
    </x:row>
    <x:row r="97" ht="42" customHeight="1">
      <x:c r="A97" s="32" t="str">
        <x:v>Аманов Онгар</x:v>
      </x:c>
      <x:c r="B97" s="32" t="str">
        <x:v>rawToLive</x:v>
      </x:c>
      <x:c r="C97" s="32" t="str">
        <x:v>live_only</x:v>
      </x:c>
      <x:c r="D97" s="32" t="str">
        <x:v>2026-03-04</x:v>
      </x:c>
      <x:c r="E97" s="32" t="n">
        <x:v>8</x:v>
      </x:c>
      <x:c r="F97" s="32" t="str">
        <x:v>Аудит ФО за 2025 год РГП на ПХВ "Казаэронавигация"</x:v>
      </x:c>
      <x:c r="G97" s="32" t="str">
        <x:v>Казаэронавигация</x:v>
      </x:c>
      <x:c r="H97" s="32" t="str">
        <x:v>live batch v3</x:v>
      </x:c>
      <x:c r="I97" s="32" t="n">
        <x:v>55</x:v>
      </x:c>
      <x:c r="J97" s="32" t="str">
        <x:v>approved</x:v>
      </x:c>
    </x:row>
    <x:row r="98" ht="42" customHeight="1">
      <x:c r="A98" s="32" t="str">
        <x:v>Аманов Онгар</x:v>
      </x:c>
      <x:c r="B98" s="32" t="str">
        <x:v>rawToLive</x:v>
      </x:c>
      <x:c r="C98" s="32" t="str">
        <x:v>live_only</x:v>
      </x:c>
      <x:c r="D98" s="32" t="str">
        <x:v>2026-03-05</x:v>
      </x:c>
      <x:c r="E98" s="32" t="n">
        <x:v>8</x:v>
      </x:c>
      <x:c r="F98" s="32" t="str">
        <x:v>Аудит ФО за 2025 год РГП на ПХВ "Казаэронавигация"</x:v>
      </x:c>
      <x:c r="G98" s="32" t="str">
        <x:v>Казаэронавигация</x:v>
      </x:c>
      <x:c r="H98" s="32" t="str">
        <x:v>live batch v3</x:v>
      </x:c>
      <x:c r="I98" s="32" t="n">
        <x:v>56</x:v>
      </x:c>
      <x:c r="J98" s="32" t="str">
        <x:v>approved</x:v>
      </x:c>
    </x:row>
    <x:row r="99" ht="42" customHeight="1">
      <x:c r="A99" s="32" t="str">
        <x:v>Аманов Онгар</x:v>
      </x:c>
      <x:c r="B99" s="32" t="str">
        <x:v>rawToLive</x:v>
      </x:c>
      <x:c r="C99" s="32" t="str">
        <x:v>live_only</x:v>
      </x:c>
      <x:c r="D99" s="32" t="str">
        <x:v>2026-03-06</x:v>
      </x:c>
      <x:c r="E99" s="32" t="n">
        <x:v>8</x:v>
      </x:c>
      <x:c r="F99" s="32" t="str">
        <x:v>Аудит ФО за 2025 год РГП на ПХВ "Казаэронавигация"</x:v>
      </x:c>
      <x:c r="G99" s="32" t="str">
        <x:v>Казаэронавигация</x:v>
      </x:c>
      <x:c r="H99" s="32" t="str">
        <x:v>live batch v3</x:v>
      </x:c>
      <x:c r="I99" s="32" t="n">
        <x:v>57</x:v>
      </x:c>
      <x:c r="J99" s="32" t="str">
        <x:v>approved</x:v>
      </x:c>
    </x:row>
    <x:row r="100" ht="42" customHeight="1">
      <x:c r="A100" s="32" t="str">
        <x:v>Аманов Онгар</x:v>
      </x:c>
      <x:c r="B100" s="32" t="str">
        <x:v>rawToLive</x:v>
      </x:c>
      <x:c r="C100" s="32" t="str">
        <x:v>live_only</x:v>
      </x:c>
      <x:c r="D100" s="32" t="str">
        <x:v>2026-03-10</x:v>
      </x:c>
      <x:c r="E100" s="32" t="n">
        <x:v>8</x:v>
      </x:c>
      <x:c r="F100" s="32" t="str">
        <x:v>Аудит ФО за 2025 год РГП на ПХВ "Казаэронавигация"</x:v>
      </x:c>
      <x:c r="G100" s="32" t="str">
        <x:v>Казаэронавигация</x:v>
      </x:c>
      <x:c r="H100" s="32" t="str">
        <x:v>live batch v3</x:v>
      </x:c>
      <x:c r="I100" s="32" t="n">
        <x:v>58</x:v>
      </x:c>
      <x:c r="J100" s="32" t="str">
        <x:v>approved</x:v>
      </x:c>
    </x:row>
    <x:row r="101" ht="42" customHeight="1">
      <x:c r="A101" s="32" t="str">
        <x:v>Аманов Онгар</x:v>
      </x:c>
      <x:c r="B101" s="32" t="str">
        <x:v>rawToLive</x:v>
      </x:c>
      <x:c r="C101" s="32" t="str">
        <x:v>live_only</x:v>
      </x:c>
      <x:c r="D101" s="32" t="str">
        <x:v>2026-03-11</x:v>
      </x:c>
      <x:c r="E101" s="32" t="n">
        <x:v>8</x:v>
      </x:c>
      <x:c r="F101" s="32" t="str">
        <x:v>Аудит ФО за 2025 год РГП на ПХВ "Казаэронавигация"</x:v>
      </x:c>
      <x:c r="G101" s="32" t="str">
        <x:v>Казаэронавигация</x:v>
      </x:c>
      <x:c r="H101" s="32" t="str">
        <x:v>live batch v3</x:v>
      </x:c>
      <x:c r="I101" s="32" t="n">
        <x:v>59</x:v>
      </x:c>
      <x:c r="J101" s="32" t="str">
        <x:v>approved</x:v>
      </x:c>
    </x:row>
    <x:row r="102" ht="42" customHeight="1">
      <x:c r="A102" s="32" t="str">
        <x:v>Аманов Онгар</x:v>
      </x:c>
      <x:c r="B102" s="32" t="str">
        <x:v>rawToLive</x:v>
      </x:c>
      <x:c r="C102" s="32" t="str">
        <x:v>live_only</x:v>
      </x:c>
      <x:c r="D102" s="32" t="str">
        <x:v>2026-03-12</x:v>
      </x:c>
      <x:c r="E102" s="32" t="n">
        <x:v>8</x:v>
      </x:c>
      <x:c r="F102" s="32" t="str">
        <x:v>Аудит ФО за 2025 год РГП на ПХВ "Казаэронавигация"</x:v>
      </x:c>
      <x:c r="G102" s="32" t="str">
        <x:v>Казаэронавигация</x:v>
      </x:c>
      <x:c r="H102" s="32" t="str">
        <x:v>live batch v3</x:v>
      </x:c>
      <x:c r="I102" s="32" t="n">
        <x:v>60</x:v>
      </x:c>
      <x:c r="J102" s="32" t="str">
        <x:v>approved</x:v>
      </x:c>
    </x:row>
    <x:row r="103" ht="42" customHeight="1">
      <x:c r="A103" s="32" t="str">
        <x:v>Аманов Онгар</x:v>
      </x:c>
      <x:c r="B103" s="32" t="str">
        <x:v>rawToLive</x:v>
      </x:c>
      <x:c r="C103" s="32" t="str">
        <x:v>live_only</x:v>
      </x:c>
      <x:c r="D103" s="32" t="str">
        <x:v>2026-03-13</x:v>
      </x:c>
      <x:c r="E103" s="32" t="n">
        <x:v>8</x:v>
      </x:c>
      <x:c r="F103" s="32" t="str">
        <x:v>Аудит ФО за 2025 год РГП на ПХВ "Казаэронавигация"</x:v>
      </x:c>
      <x:c r="G103" s="32" t="str">
        <x:v>Казаэронавигация</x:v>
      </x:c>
      <x:c r="H103" s="32" t="str">
        <x:v>live batch v3</x:v>
      </x:c>
      <x:c r="I103" s="32" t="n">
        <x:v>61</x:v>
      </x:c>
      <x:c r="J103" s="32" t="str">
        <x:v>approved</x:v>
      </x:c>
    </x:row>
    <x:row r="104" ht="42" customHeight="1">
      <x:c r="A104" s="32" t="str">
        <x:v>Аманов Онгар</x:v>
      </x:c>
      <x:c r="B104" s="32" t="str">
        <x:v>rawToLive</x:v>
      </x:c>
      <x:c r="C104" s="32" t="str">
        <x:v>live_only</x:v>
      </x:c>
      <x:c r="D104" s="32" t="str">
        <x:v>2026-03-16</x:v>
      </x:c>
      <x:c r="E104" s="32" t="n">
        <x:v>8</x:v>
      </x:c>
      <x:c r="F104" s="32" t="str">
        <x:v>Аудит ФО за 2025 год РГП на ПХВ "Казаэронавигация"</x:v>
      </x:c>
      <x:c r="G104" s="32" t="str">
        <x:v>Казаэронавигация (НЗС)</x:v>
      </x:c>
      <x:c r="H104" s="32" t="str">
        <x:v>live batch v3</x:v>
      </x:c>
      <x:c r="I104" s="32" t="n">
        <x:v>62</x:v>
      </x:c>
      <x:c r="J104" s="32" t="str">
        <x:v>approved</x:v>
      </x:c>
    </x:row>
    <x:row r="105" ht="42" customHeight="1">
      <x:c r="A105" s="32" t="str">
        <x:v>Аманов Онгар</x:v>
      </x:c>
      <x:c r="B105" s="32" t="str">
        <x:v>rawToLive</x:v>
      </x:c>
      <x:c r="C105" s="32" t="str">
        <x:v>live_only</x:v>
      </x:c>
      <x:c r="D105" s="32" t="str">
        <x:v>2026-03-17</x:v>
      </x:c>
      <x:c r="E105" s="32" t="n">
        <x:v>8</x:v>
      </x:c>
      <x:c r="F105" s="32" t="str">
        <x:v>Аудит ФО за 2025 год РГП на ПХВ "Казаэронавигация"</x:v>
      </x:c>
      <x:c r="G105" s="32" t="str">
        <x:v>Казаэронавигация (НЗС)</x:v>
      </x:c>
      <x:c r="H105" s="32" t="str">
        <x:v>live batch v3</x:v>
      </x:c>
      <x:c r="I105" s="32" t="n">
        <x:v>63</x:v>
      </x:c>
      <x:c r="J105" s="32" t="str">
        <x:v>approved</x:v>
      </x:c>
    </x:row>
    <x:row r="106" ht="42" customHeight="1">
      <x:c r="A106" s="32" t="str">
        <x:v>Аманов Онгар</x:v>
      </x:c>
      <x:c r="B106" s="32" t="str">
        <x:v>rawToLive</x:v>
      </x:c>
      <x:c r="C106" s="32" t="str">
        <x:v>live_only</x:v>
      </x:c>
      <x:c r="D106" s="32" t="str">
        <x:v>2026-03-18</x:v>
      </x:c>
      <x:c r="E106" s="32" t="n">
        <x:v>8</x:v>
      </x:c>
      <x:c r="F106" s="32" t="str">
        <x:v>Аудит ФО за 2025 год РГП на ПХВ "Казаэронавигация"</x:v>
      </x:c>
      <x:c r="G106" s="32" t="str">
        <x:v>Казаэронавигация (НЗС)</x:v>
      </x:c>
      <x:c r="H106" s="32" t="str">
        <x:v>live batch v3</x:v>
      </x:c>
      <x:c r="I106" s="32" t="n">
        <x:v>64</x:v>
      </x:c>
      <x:c r="J106" s="32" t="str">
        <x:v>approved</x:v>
      </x:c>
    </x:row>
    <x:row r="107" ht="42" customHeight="1">
      <x:c r="A107" s="32" t="str">
        <x:v>Аманов Онгар</x:v>
      </x:c>
      <x:c r="B107" s="32" t="str">
        <x:v>rawToLive</x:v>
      </x:c>
      <x:c r="C107" s="32" t="str">
        <x:v>live_only</x:v>
      </x:c>
      <x:c r="D107" s="32" t="str">
        <x:v>2026-03-19</x:v>
      </x:c>
      <x:c r="E107" s="32" t="n">
        <x:v>8</x:v>
      </x:c>
      <x:c r="F107" s="32" t="str">
        <x:v>Аудит ФО за 2025 год РГП на ПХВ "Казаэронавигация"</x:v>
      </x:c>
      <x:c r="G107" s="32" t="str">
        <x:v>Казаэронавигация (НЗС)</x:v>
      </x:c>
      <x:c r="H107" s="32" t="str">
        <x:v>live batch v3</x:v>
      </x:c>
      <x:c r="I107" s="32" t="n">
        <x:v>65</x:v>
      </x:c>
      <x:c r="J107" s="32" t="str">
        <x:v>approved</x:v>
      </x:c>
    </x:row>
    <x:row r="108" ht="42" customHeight="1">
      <x:c r="A108" s="32" t="str">
        <x:v>Аманов Онгар</x:v>
      </x:c>
      <x:c r="B108" s="32" t="str">
        <x:v>rawToLive</x:v>
      </x:c>
      <x:c r="C108" s="32" t="str">
        <x:v>live_only</x:v>
      </x:c>
      <x:c r="D108" s="32" t="str">
        <x:v>2026-05-28</x:v>
      </x:c>
      <x:c r="E108" s="32" t="n">
        <x:v>8</x:v>
      </x:c>
      <x:c r="F108" s="32" t="str">
        <x:v>АО «Шымкентмай» Аудит ФО за 2024 год</x:v>
      </x:c>
      <x:c r="G108" s="32" t="str">
        <x:v>Себестоимость</x:v>
      </x:c>
      <x:c r="H108" s="32" t="str">
        <x:v>live batch v3</x:v>
      </x:c>
      <x:c r="I108" s="32" t="n">
        <x:v>108</x:v>
      </x:c>
      <x:c r="J108" s="32" t="str">
        <x:v>approved</x:v>
      </x:c>
    </x:row>
    <x:row r="109" ht="42" customHeight="1">
      <x:c r="A109" s="32" t="str">
        <x:v>Аманов Онгар</x:v>
      </x:c>
      <x:c r="B109" s="32" t="str">
        <x:v>rawToLive</x:v>
      </x:c>
      <x:c r="C109" s="32" t="str">
        <x:v>live_only</x:v>
      </x:c>
      <x:c r="D109" s="32" t="str">
        <x:v>2026-05-29</x:v>
      </x:c>
      <x:c r="E109" s="32" t="n">
        <x:v>8</x:v>
      </x:c>
      <x:c r="F109" s="32" t="str">
        <x:v>АО «Шымкентмай» Аудит ФО за 2024 год</x:v>
      </x:c>
      <x:c r="G109" s="32" t="str">
        <x:v>Себестоимость</x:v>
      </x:c>
      <x:c r="H109" s="32" t="str">
        <x:v>live batch v3</x:v>
      </x:c>
      <x:c r="I109" s="32" t="n">
        <x:v>109</x:v>
      </x:c>
      <x:c r="J109" s="32" t="str">
        <x:v>approved</x:v>
      </x:c>
    </x:row>
    <x:row r="110" ht="42" customHeight="1">
      <x:c r="A110" s="32" t="str">
        <x:v>Аманов Онгар</x:v>
      </x:c>
      <x:c r="B110" s="32" t="str">
        <x:v>rawToLive</x:v>
      </x:c>
      <x:c r="C110" s="32" t="str">
        <x:v>live_only</x:v>
      </x:c>
      <x:c r="D110" s="32" t="str">
        <x:v>2024-12-04</x:v>
      </x:c>
      <x:c r="E110" s="32" t="n">
        <x:v>8</x:v>
      </x:c>
      <x:c r="F110" s="32" t="str">
        <x:v>ТОО Карат</x:v>
      </x:c>
      <x:c r="G110" s="32" t="str">
        <x:v>Каратон Оперейтинг</x:v>
      </x:c>
      <x:c r="H110" s="32" t="str">
        <x:v>live batch v3</x:v>
      </x:c>
      <x:c r="I110" s="32" t="n">
        <x:v>117</x:v>
      </x:c>
      <x:c r="J110" s="32" t="str">
        <x:v>approved</x:v>
      </x:c>
    </x:row>
    <x:row r="111" ht="42" customHeight="1">
      <x:c r="A111" s="32" t="str">
        <x:v>Аманов Онгар</x:v>
      </x:c>
      <x:c r="B111" s="32" t="str">
        <x:v>rawToLive</x:v>
      </x:c>
      <x:c r="C111" s="32" t="str">
        <x:v>live_only</x:v>
      </x:c>
      <x:c r="D111" s="32" t="str">
        <x:v>2024-12-06</x:v>
      </x:c>
      <x:c r="E111" s="32" t="n">
        <x:v>8</x:v>
      </x:c>
      <x:c r="F111" s="32" t="str">
        <x:v>ТОО Карат</x:v>
      </x:c>
      <x:c r="G111" s="32" t="str">
        <x:v>Каратон Оперейтинг (счет 2610)</x:v>
      </x:c>
      <x:c r="H111" s="32" t="str">
        <x:v>live batch v3</x:v>
      </x:c>
      <x:c r="I111" s="32" t="n">
        <x:v>118</x:v>
      </x:c>
      <x:c r="J111" s="32" t="str">
        <x:v>approved</x:v>
      </x:c>
    </x:row>
    <x:row r="112" ht="42" customHeight="1">
      <x:c r="A112" s="32" t="str">
        <x:v>Аманов Онгар</x:v>
      </x:c>
      <x:c r="B112" s="32" t="str">
        <x:v>rawToLive</x:v>
      </x:c>
      <x:c r="C112" s="32" t="str">
        <x:v>live_only</x:v>
      </x:c>
      <x:c r="D112" s="32" t="str">
        <x:v>2024-12-09</x:v>
      </x:c>
      <x:c r="E112" s="32" t="n">
        <x:v>8</x:v>
      </x:c>
      <x:c r="F112" s="32" t="str">
        <x:v>ТОО Карат</x:v>
      </x:c>
      <x:c r="G112" s="32" t="str">
        <x:v>Каратон Оперейтинг (получены скан первичных документов по запасам и их разбивка)</x:v>
      </x:c>
      <x:c r="H112" s="32" t="str">
        <x:v>live batch v3</x:v>
      </x:c>
      <x:c r="I112" s="32" t="n">
        <x:v>151</x:v>
      </x:c>
      <x:c r="J112" s="32" t="str">
        <x:v>approved</x:v>
      </x:c>
    </x:row>
    <x:row r="113" ht="42" customHeight="1">
      <x:c r="A113" s="32" t="str">
        <x:v>Аманов Онгар</x:v>
      </x:c>
      <x:c r="B113" s="32" t="str">
        <x:v>rawToLive</x:v>
      </x:c>
      <x:c r="C113" s="32" t="str">
        <x:v>live_only</x:v>
      </x:c>
      <x:c r="D113" s="32" t="str">
        <x:v>2024-12-03</x:v>
      </x:c>
      <x:c r="E113" s="32" t="n">
        <x:v>8</x:v>
      </x:c>
      <x:c r="F113" s="32" t="str">
        <x:v>ТОО Карат</x:v>
      </x:c>
      <x:c r="G113" s="32" t="str">
        <x:v>Каратон Оперейтинг</x:v>
      </x:c>
      <x:c r="H113" s="32" t="str">
        <x:v>live batch v3</x:v>
      </x:c>
      <x:c r="I113" s="32" t="n">
        <x:v>154</x:v>
      </x:c>
      <x:c r="J113" s="32" t="str">
        <x:v>approved</x:v>
      </x:c>
    </x:row>
    <x:row r="114" ht="42" customHeight="1">
      <x:c r="A114" s="32" t="str">
        <x:v>Аманов Онгар</x:v>
      </x:c>
      <x:c r="B114" s="32" t="str">
        <x:v>rawToLive</x:v>
      </x:c>
      <x:c r="C114" s="32" t="str">
        <x:v>live_only</x:v>
      </x:c>
      <x:c r="D114" s="32" t="str">
        <x:v>2024-12-11</x:v>
      </x:c>
      <x:c r="E114" s="32" t="n">
        <x:v>8</x:v>
      </x:c>
      <x:c r="F114" s="32" t="str">
        <x:v>ТОО Карат</x:v>
      </x:c>
      <x:c r="G114" s="32" t="str">
        <x:v>Каратон Оперейтинг (получены сканы первичных документов по ОС и их разбивка)</x:v>
      </x:c>
      <x:c r="H114" s="32" t="str">
        <x:v>live batch v3</x:v>
      </x:c>
      <x:c r="I114" s="32" t="n">
        <x:v>165</x:v>
      </x:c>
      <x:c r="J114" s="32" t="str">
        <x:v>approved</x:v>
      </x:c>
    </x:row>
    <x:row r="115" ht="42" customHeight="1">
      <x:c r="A115" s="32" t="str">
        <x:v>Аманов Онгар</x:v>
      </x:c>
      <x:c r="B115" s="32" t="str">
        <x:v>rawToLive</x:v>
      </x:c>
      <x:c r="C115" s="32" t="str">
        <x:v>live_only</x:v>
      </x:c>
      <x:c r="D115" s="32" t="str">
        <x:v>2024-12-05</x:v>
      </x:c>
      <x:c r="E115" s="32" t="n">
        <x:v>8</x:v>
      </x:c>
      <x:c r="F115" s="32" t="str">
        <x:v>ТОО Карат</x:v>
      </x:c>
      <x:c r="G115" s="32" t="str">
        <x:v>Каратон Оперейтинг</x:v>
      </x:c>
      <x:c r="H115" s="32" t="str">
        <x:v>live batch v3</x:v>
      </x:c>
      <x:c r="I115" s="32" t="n">
        <x:v>181</x:v>
      </x:c>
      <x:c r="J115" s="32" t="str">
        <x:v>approved</x:v>
      </x:c>
    </x:row>
    <x:row r="116" ht="42" customHeight="1">
      <x:c r="A116" s="32" t="str">
        <x:v>Аманов Онгар</x:v>
      </x:c>
      <x:c r="B116" s="32" t="str">
        <x:v>rawToLive</x:v>
      </x:c>
      <x:c r="C116" s="32" t="str">
        <x:v>live_only</x:v>
      </x:c>
      <x:c r="D116" s="32" t="str">
        <x:v>2024-12-10</x:v>
      </x:c>
      <x:c r="E116" s="32" t="n">
        <x:v>8</x:v>
      </x:c>
      <x:c r="F116" s="32" t="str">
        <x:v>ТОО Карат</x:v>
      </x:c>
      <x:c r="G116" s="32" t="str">
        <x:v>Каратон Оперейтинг (получены скан первичных документов по НМА и их разбивка)</x:v>
      </x:c>
      <x:c r="H116" s="32" t="str">
        <x:v>live batch v3</x:v>
      </x:c>
      <x:c r="I116" s="32" t="n">
        <x:v>182</x:v>
      </x:c>
      <x:c r="J116" s="32" t="str">
        <x:v>approved</x:v>
      </x:c>
    </x:row>
    <x:row r="117" ht="42" customHeight="1">
      <x:c r="A117" s="32" t="str">
        <x:v>Аманов Онгар</x:v>
      </x:c>
      <x:c r="B117" s="32" t="str">
        <x:v>rawToLive</x:v>
      </x:c>
      <x:c r="C117" s="32" t="str">
        <x:v>live_only</x:v>
      </x:c>
      <x:c r="D117" s="32" t="str">
        <x:v>2025-06-26</x:v>
      </x:c>
      <x:c r="E117" s="32" t="n">
        <x:v>8</x:v>
      </x:c>
      <x:c r="F117" s="32" t="str">
        <x:v>АО «АО «ШалкияЦинк ЛТД» (аудит за 2025-2029гг)</x:v>
      </x:c>
      <x:c r="G117" s="32" t="str">
        <x:v>ШалкияЦинк</x:v>
      </x:c>
      <x:c r="H117" s="32" t="str">
        <x:v>live batch v3</x:v>
      </x:c>
      <x:c r="I117" s="32" t="n">
        <x:v>209</x:v>
      </x:c>
      <x:c r="J117" s="32" t="str">
        <x:v>approved</x:v>
      </x:c>
    </x:row>
    <x:row r="118" ht="42" customHeight="1">
      <x:c r="A118" s="32" t="str">
        <x:v>Аманов Онгар</x:v>
      </x:c>
      <x:c r="B118" s="32" t="str">
        <x:v>rawToLive</x:v>
      </x:c>
      <x:c r="C118" s="32" t="str">
        <x:v>live_only</x:v>
      </x:c>
      <x:c r="D118" s="32" t="str">
        <x:v>2025-06-23</x:v>
      </x:c>
      <x:c r="E118" s="32" t="n">
        <x:v>8</x:v>
      </x:c>
      <x:c r="F118" s="32" t="str">
        <x:v>АО «АО «ШалкияЦинк ЛТД» (аудит за 2025-2029гг)</x:v>
      </x:c>
      <x:c r="G118" s="32" t="str">
        <x:v>ШалкияЦинк</x:v>
      </x:c>
      <x:c r="H118" s="32" t="str">
        <x:v>live batch v3</x:v>
      </x:c>
      <x:c r="I118" s="32" t="n">
        <x:v>213</x:v>
      </x:c>
      <x:c r="J118" s="32" t="str">
        <x:v>approved</x:v>
      </x:c>
    </x:row>
    <x:row r="119" ht="42" customHeight="1">
      <x:c r="A119" s="32" t="str">
        <x:v>Аманов Онгар</x:v>
      </x:c>
      <x:c r="B119" s="32" t="str">
        <x:v>rawToLive</x:v>
      </x:c>
      <x:c r="C119" s="32" t="str">
        <x:v>live_only</x:v>
      </x:c>
      <x:c r="D119" s="32" t="str">
        <x:v>2025-06-25</x:v>
      </x:c>
      <x:c r="E119" s="32" t="n">
        <x:v>8</x:v>
      </x:c>
      <x:c r="F119" s="32" t="str">
        <x:v>АО «АО «ШалкияЦинк ЛТД» (аудит за 2025-2029гг)</x:v>
      </x:c>
      <x:c r="G119" s="32" t="str">
        <x:v>ШалкияЦинк</x:v>
      </x:c>
      <x:c r="H119" s="32" t="str">
        <x:v>live batch v3</x:v>
      </x:c>
      <x:c r="I119" s="32" t="n">
        <x:v>229</x:v>
      </x:c>
      <x:c r="J119" s="32" t="str">
        <x:v>approved</x:v>
      </x:c>
    </x:row>
    <x:row r="120" ht="42" customHeight="1">
      <x:c r="A120" s="32" t="str">
        <x:v>Аманов Онгар</x:v>
      </x:c>
      <x:c r="B120" s="32" t="str">
        <x:v>rawToLive</x:v>
      </x:c>
      <x:c r="C120" s="32" t="str">
        <x:v>live_only</x:v>
      </x:c>
      <x:c r="D120" s="32" t="str">
        <x:v>2025-06-27</x:v>
      </x:c>
      <x:c r="E120" s="32" t="n">
        <x:v>8</x:v>
      </x:c>
      <x:c r="F120" s="32" t="str">
        <x:v>АО «АО «ШалкияЦинк ЛТД» (аудит за 2025-2029гг)</x:v>
      </x:c>
      <x:c r="G120" s="32" t="str">
        <x:v>ШалкияЦинк</x:v>
      </x:c>
      <x:c r="H120" s="32" t="str">
        <x:v>live batch v3</x:v>
      </x:c>
      <x:c r="I120" s="32" t="n">
        <x:v>231</x:v>
      </x:c>
      <x:c r="J120" s="32" t="str">
        <x:v>approved</x:v>
      </x:c>
    </x:row>
    <x:row r="121" ht="42" customHeight="1">
      <x:c r="A121" s="32" t="str">
        <x:v>Аманов Онгар</x:v>
      </x:c>
      <x:c r="B121" s="32" t="str">
        <x:v>rawToLive</x:v>
      </x:c>
      <x:c r="C121" s="32" t="str">
        <x:v>live_only</x:v>
      </x:c>
      <x:c r="D121" s="32" t="str">
        <x:v>2025-06-24</x:v>
      </x:c>
      <x:c r="E121" s="32" t="n">
        <x:v>8</x:v>
      </x:c>
      <x:c r="F121" s="32" t="str">
        <x:v>АО «АО «ШалкияЦинк ЛТД» (аудит за 2025-2029гг)</x:v>
      </x:c>
      <x:c r="G121" s="32" t="str">
        <x:v>ШалкияЦинк</x:v>
      </x:c>
      <x:c r="H121" s="32" t="str">
        <x:v>live batch v3</x:v>
      </x:c>
      <x:c r="I121" s="32" t="n">
        <x:v>260</x:v>
      </x:c>
      <x:c r="J121" s="32" t="str">
        <x:v>approved</x:v>
      </x:c>
    </x:row>
    <x:row r="122" ht="42" customHeight="1">
      <x:c r="A122" s="32" t="str">
        <x:v>Аманов Онгар</x:v>
      </x:c>
      <x:c r="B122" s="32" t="str">
        <x:v>rawToLive</x:v>
      </x:c>
      <x:c r="C122" s="32" t="str">
        <x:v>live_only</x:v>
      </x:c>
      <x:c r="D122" s="32" t="str">
        <x:v>2025-06-30</x:v>
      </x:c>
      <x:c r="E122" s="32" t="n">
        <x:v>8</x:v>
      </x:c>
      <x:c r="F122" s="32" t="str">
        <x:v>АО «АО «ШалкияЦинк ЛТД» (аудит за 2025-2029гг)</x:v>
      </x:c>
      <x:c r="G122" s="32" t="str">
        <x:v>ШалкияЦинк</x:v>
      </x:c>
      <x:c r="H122" s="32" t="str">
        <x:v>live batch v3</x:v>
      </x:c>
      <x:c r="I122" s="32" t="n">
        <x:v>268</x:v>
      </x:c>
      <x:c r="J122" s="32" t="str">
        <x:v>approved</x:v>
      </x:c>
    </x:row>
    <x:row r="123" ht="42" customHeight="1">
      <x:c r="A123" s="32" t="str">
        <x:v>Сауле Бадамбаева</x:v>
      </x:c>
      <x:c r="B123" s="32" t="str">
        <x:v>rootToLive</x:v>
      </x:c>
      <x:c r="C123" s="32" t="str">
        <x:v>source_only</x:v>
      </x:c>
      <x:c r="D123" s="32" t="str">
        <x:v>2024-11-14</x:v>
      </x:c>
      <x:c r="E123" s="32" t="n">
        <x:v>8</x:v>
      </x:c>
      <x:c r="F123" s="32" t="str">
        <x:v>---------Отсутствие по уважительной причине(Отпуск, больничный, и.т.д)------------</x:v>
      </x:c>
      <x:c r="G123" s="32" t="str">
        <x:v>Подготовка к собеседованию в Нац.Комиссию (гос.аудит). Собеседование назначено на 29.11.2024</x:v>
      </x:c>
      <x:c r="H123" s="32" t="str">
        <x:v>Time Sheet</x:v>
      </x:c>
      <x:c r="I123" s="32" t="n">
        <x:v>22</x:v>
      </x:c>
      <x:c r="J123" s="32" t="str"/>
    </x:row>
    <x:row r="124" ht="42" customHeight="1">
      <x:c r="A124" s="32" t="str">
        <x:v>Сауле Бадамбаева</x:v>
      </x:c>
      <x:c r="B124" s="32" t="str">
        <x:v>rootToLive</x:v>
      </x:c>
      <x:c r="C124" s="32" t="str">
        <x:v>source_only</x:v>
      </x:c>
      <x:c r="D124" s="32" t="str">
        <x:v>2024-11-15</x:v>
      </x:c>
      <x:c r="E124" s="32" t="n">
        <x:v>8</x:v>
      </x:c>
      <x:c r="F124" s="32" t="str">
        <x:v>---------Отсутствие по уважительной причине(Отпуск, больничный, и.т.д)------------</x:v>
      </x:c>
      <x:c r="G124" s="32" t="str">
        <x:v>Подготовка к собеседованию в Нац.Комиссию (гос.аудит). Собеседование назначено на 29.11.2024</x:v>
      </x:c>
      <x:c r="H124" s="32" t="str">
        <x:v>Time Sheet</x:v>
      </x:c>
      <x:c r="I124" s="32" t="n">
        <x:v>23</x:v>
      </x:c>
      <x:c r="J124" s="32" t="str"/>
    </x:row>
    <x:row r="125" ht="42" customHeight="1">
      <x:c r="A125" s="32" t="str">
        <x:v>Сауле Бадамбаева</x:v>
      </x:c>
      <x:c r="B125" s="32" t="str">
        <x:v>rootToLive</x:v>
      </x:c>
      <x:c r="C125" s="32" t="str">
        <x:v>source_only</x:v>
      </x:c>
      <x:c r="D125" s="32" t="str">
        <x:v>2024-11-18</x:v>
      </x:c>
      <x:c r="E125" s="32" t="n">
        <x:v>8</x:v>
      </x:c>
      <x:c r="F125" s="32" t="str">
        <x:v>---------Отсутствие по уважительной причине(Отпуск, больничный, и.т.д)------------</x:v>
      </x:c>
      <x:c r="G125" s="32" t="str">
        <x:v>Ежегодный оплачиваемый отпуск с 18.11.24 по 27.11.24</x:v>
      </x:c>
      <x:c r="H125" s="32" t="str">
        <x:v>Time Sheet</x:v>
      </x:c>
      <x:c r="I125" s="32" t="n">
        <x:v>24</x:v>
      </x:c>
      <x:c r="J125" s="32" t="str"/>
    </x:row>
    <x:row r="126" ht="42" customHeight="1">
      <x:c r="A126" s="32" t="str">
        <x:v>Сауле Бадамбаева</x:v>
      </x:c>
      <x:c r="B126" s="32" t="str">
        <x:v>rootToLive</x:v>
      </x:c>
      <x:c r="C126" s="32" t="str">
        <x:v>source_only</x:v>
      </x:c>
      <x:c r="D126" s="32" t="str">
        <x:v>2024-11-19</x:v>
      </x:c>
      <x:c r="E126" s="32" t="n">
        <x:v>8</x:v>
      </x:c>
      <x:c r="F126" s="32" t="str">
        <x:v>---------Отсутствие по уважительной причине(Отпуск, больничный, и.т.д)------------</x:v>
      </x:c>
      <x:c r="G126" s="32" t="str">
        <x:v>Ежегодный оплачиваемый отпуск с 18.11.24 по 27.11.24</x:v>
      </x:c>
      <x:c r="H126" s="32" t="str">
        <x:v>Time Sheet</x:v>
      </x:c>
      <x:c r="I126" s="32" t="n">
        <x:v>25</x:v>
      </x:c>
      <x:c r="J126" s="32" t="str"/>
    </x:row>
    <x:row r="127" ht="42" customHeight="1">
      <x:c r="A127" s="32" t="str">
        <x:v>Сауле Бадамбаева</x:v>
      </x:c>
      <x:c r="B127" s="32" t="str">
        <x:v>rootToLive</x:v>
      </x:c>
      <x:c r="C127" s="32" t="str">
        <x:v>source_only</x:v>
      </x:c>
      <x:c r="D127" s="32" t="str">
        <x:v>2024-11-20</x:v>
      </x:c>
      <x:c r="E127" s="32" t="n">
        <x:v>8</x:v>
      </x:c>
      <x:c r="F127" s="32" t="str">
        <x:v>---------Отсутствие по уважительной причине(Отпуск, больничный, и.т.д)------------</x:v>
      </x:c>
      <x:c r="G127" s="32" t="str">
        <x:v>Ежегодный оплачиваемый отпуск с 18.11.24 по 27.11.24</x:v>
      </x:c>
      <x:c r="H127" s="32" t="str">
        <x:v>Time Sheet</x:v>
      </x:c>
      <x:c r="I127" s="32" t="n">
        <x:v>26</x:v>
      </x:c>
      <x:c r="J127" s="32" t="str"/>
    </x:row>
    <x:row r="128" ht="42" customHeight="1">
      <x:c r="A128" s="32" t="str">
        <x:v>Сауле Бадамбаева</x:v>
      </x:c>
      <x:c r="B128" s="32" t="str">
        <x:v>rootToLive</x:v>
      </x:c>
      <x:c r="C128" s="32" t="str">
        <x:v>source_only</x:v>
      </x:c>
      <x:c r="D128" s="32" t="str">
        <x:v>2024-11-21</x:v>
      </x:c>
      <x:c r="E128" s="32" t="n">
        <x:v>8</x:v>
      </x:c>
      <x:c r="F128" s="32" t="str">
        <x:v>---------Отсутствие по уважительной причине(Отпуск, больничный, и.т.д)------------</x:v>
      </x:c>
      <x:c r="G128" s="32" t="str">
        <x:v>Ежегодный оплачиваемый отпуск с 18.11.24 по 27.11.24</x:v>
      </x:c>
      <x:c r="H128" s="32" t="str">
        <x:v>Time Sheet</x:v>
      </x:c>
      <x:c r="I128" s="32" t="n">
        <x:v>27</x:v>
      </x:c>
      <x:c r="J128" s="32" t="str"/>
    </x:row>
    <x:row r="129" ht="42" customHeight="1">
      <x:c r="A129" s="32" t="str">
        <x:v>Сауле Бадамбаева</x:v>
      </x:c>
      <x:c r="B129" s="32" t="str">
        <x:v>rootToLive</x:v>
      </x:c>
      <x:c r="C129" s="32" t="str">
        <x:v>source_only</x:v>
      </x:c>
      <x:c r="D129" s="32" t="str">
        <x:v>2024-11-22</x:v>
      </x:c>
      <x:c r="E129" s="32" t="n">
        <x:v>8</x:v>
      </x:c>
      <x:c r="F129" s="32" t="str">
        <x:v>---------Отсутствие по уважительной причине(Отпуск, больничный, и.т.д)------------</x:v>
      </x:c>
      <x:c r="G129" s="32" t="str">
        <x:v>Ежегодный оплачиваемый отпуск с 18.11.24 по 27.11.24</x:v>
      </x:c>
      <x:c r="H129" s="32" t="str">
        <x:v>Time Sheet</x:v>
      </x:c>
      <x:c r="I129" s="32" t="n">
        <x:v>28</x:v>
      </x:c>
      <x:c r="J129" s="32" t="str"/>
    </x:row>
    <x:row r="130" ht="42" customHeight="1">
      <x:c r="A130" s="32" t="str">
        <x:v>Сауле Бадамбаева</x:v>
      </x:c>
      <x:c r="B130" s="32" t="str">
        <x:v>rootToLive</x:v>
      </x:c>
      <x:c r="C130" s="32" t="str">
        <x:v>source_only</x:v>
      </x:c>
      <x:c r="D130" s="32" t="str">
        <x:v>2024-11-25</x:v>
      </x:c>
      <x:c r="E130" s="32" t="n">
        <x:v>8</x:v>
      </x:c>
      <x:c r="F130" s="32" t="str">
        <x:v>---------Отсутствие по уважительной причине(Отпуск, больничный, и.т.д)------------</x:v>
      </x:c>
      <x:c r="G130" s="32" t="str">
        <x:v>Ежегодный оплачиваемый отпуск с 18.11.24 по 27.11.24</x:v>
      </x:c>
      <x:c r="H130" s="32" t="str">
        <x:v>Time Sheet</x:v>
      </x:c>
      <x:c r="I130" s="32" t="n">
        <x:v>29</x:v>
      </x:c>
      <x:c r="J130" s="32" t="str"/>
    </x:row>
    <x:row r="131" ht="42" customHeight="1">
      <x:c r="A131" s="32" t="str">
        <x:v>Сауле Бадамбаева</x:v>
      </x:c>
      <x:c r="B131" s="32" t="str">
        <x:v>rootToLive</x:v>
      </x:c>
      <x:c r="C131" s="32" t="str">
        <x:v>source_only</x:v>
      </x:c>
      <x:c r="D131" s="32" t="str">
        <x:v>2024-11-26</x:v>
      </x:c>
      <x:c r="E131" s="32" t="n">
        <x:v>8</x:v>
      </x:c>
      <x:c r="F131" s="32" t="str">
        <x:v>---------Отсутствие по уважительной причине(Отпуск, больничный, и.т.д)------------</x:v>
      </x:c>
      <x:c r="G131" s="32" t="str">
        <x:v>Ежегодный оплачиваемый отпуск с 18.11.24 по 27.11.24</x:v>
      </x:c>
      <x:c r="H131" s="32" t="str">
        <x:v>Time Sheet</x:v>
      </x:c>
      <x:c r="I131" s="32" t="n">
        <x:v>30</x:v>
      </x:c>
      <x:c r="J131" s="32" t="str"/>
    </x:row>
    <x:row r="132" ht="42" customHeight="1">
      <x:c r="A132" s="32" t="str">
        <x:v>Сауле Бадамбаева</x:v>
      </x:c>
      <x:c r="B132" s="32" t="str">
        <x:v>rootToLive</x:v>
      </x:c>
      <x:c r="C132" s="32" t="str">
        <x:v>source_only</x:v>
      </x:c>
      <x:c r="D132" s="32" t="str">
        <x:v>2024-11-27</x:v>
      </x:c>
      <x:c r="E132" s="32" t="n">
        <x:v>8</x:v>
      </x:c>
      <x:c r="F132" s="32" t="str">
        <x:v>---------Отсутствие по уважительной причине(Отпуск, больничный, и.т.д)------------</x:v>
      </x:c>
      <x:c r="G132" s="32" t="str">
        <x:v>Ежегодный оплачиваемый отпуск с 18.11.24 по 27.11.24</x:v>
      </x:c>
      <x:c r="H132" s="32" t="str">
        <x:v>Time Sheet</x:v>
      </x:c>
      <x:c r="I132" s="32" t="n">
        <x:v>31</x:v>
      </x:c>
      <x:c r="J132" s="32" t="str"/>
    </x:row>
    <x:row r="133" ht="42" customHeight="1">
      <x:c r="A133" s="32" t="str">
        <x:v>Сауле Бадамбаева</x:v>
      </x:c>
      <x:c r="B133" s="32" t="str">
        <x:v>rootToLive</x:v>
      </x:c>
      <x:c r="C133" s="32" t="str">
        <x:v>source_only</x:v>
      </x:c>
      <x:c r="D133" s="32" t="str">
        <x:v>2024-11-28</x:v>
      </x:c>
      <x:c r="E133" s="32" t="n">
        <x:v>8</x:v>
      </x:c>
      <x:c r="F133" s="32" t="str">
        <x:v>---------Отсутствие по уважительной причине(Отпуск, больничный, и.т.д)------------</x:v>
      </x:c>
      <x:c r="G133" s="32" t="str">
        <x:v>Собрание в Палате аудиторов</x:v>
      </x:c>
      <x:c r="H133" s="32" t="str">
        <x:v>Time Sheet</x:v>
      </x:c>
      <x:c r="I133" s="32" t="n">
        <x:v>32</x:v>
      </x:c>
      <x:c r="J133" s="32" t="str"/>
    </x:row>
    <x:row r="134" ht="42" customHeight="1">
      <x:c r="A134" s="32" t="str">
        <x:v>Сауле Бадамбаева</x:v>
      </x:c>
      <x:c r="B134" s="32" t="str">
        <x:v>rootToLive</x:v>
      </x:c>
      <x:c r="C134" s="32" t="str">
        <x:v>source_only</x:v>
      </x:c>
      <x:c r="D134" s="32" t="str">
        <x:v>2024-11-29</x:v>
      </x:c>
      <x:c r="E134" s="32" t="n">
        <x:v>8</x:v>
      </x:c>
      <x:c r="F134" s="32" t="str">
        <x:v>---------Отсутствие по уважительной причине(Отпуск, больничный, и.т.д)------------</x:v>
      </x:c>
      <x:c r="G134" s="32" t="str">
        <x:v>Выезд в Астану на Нац. Комиссию. Собеседование в 15.00 час.</x:v>
      </x:c>
      <x:c r="H134" s="32" t="str">
        <x:v>Time Sheet</x:v>
      </x:c>
      <x:c r="I134" s="32" t="n">
        <x:v>33</x:v>
      </x:c>
      <x:c r="J134" s="32" t="str"/>
    </x:row>
    <x:row r="135" ht="42" customHeight="1">
      <x:c r="A135" s="32" t="str">
        <x:v>Сауле Бадамбаева</x:v>
      </x:c>
      <x:c r="B135" s="32" t="str">
        <x:v>rootToLive</x:v>
      </x:c>
      <x:c r="C135" s="32" t="str">
        <x:v>source_only</x:v>
      </x:c>
      <x:c r="D135" s="32" t="str">
        <x:v>2024-12-24</x:v>
      </x:c>
      <x:c r="E135" s="32" t="n">
        <x:v>4</x:v>
      </x:c>
      <x:c r="F135" s="32" t="str">
        <x:v>---------Отсутствие по уважительной причине(Отпуск, больничный, и.т.д)------------</x:v>
      </x:c>
      <x:c r="G135" s="32" t="str">
        <x:v>Корпоратив Новый год</x:v>
      </x:c>
      <x:c r="H135" s="32" t="str">
        <x:v>Time Sheet</x:v>
      </x:c>
      <x:c r="I135" s="32" t="n">
        <x:v>63</x:v>
      </x:c>
      <x:c r="J135" s="32" t="str"/>
    </x:row>
    <x:row r="136" ht="42" customHeight="1">
      <x:c r="A136" s="32" t="str">
        <x:v>Сауле Бадамбаева</x:v>
      </x:c>
      <x:c r="B136" s="32" t="str">
        <x:v>rootToLive</x:v>
      </x:c>
      <x:c r="C136" s="32" t="str">
        <x:v>source_only</x:v>
      </x:c>
      <x:c r="D136" s="32" t="str">
        <x:v>2024-12-26</x:v>
      </x:c>
      <x:c r="E136" s="32" t="n">
        <x:v>4</x:v>
      </x:c>
      <x:c r="F136" s="32" t="str">
        <x:v>---------Отсутствие по уважительной причине(Отпуск, больничный, и.т.д)------------</x:v>
      </x:c>
      <x:c r="G136" s="32" t="str">
        <x:v>Поздравление Клиентов с новым годом</x:v>
      </x:c>
      <x:c r="H136" s="32" t="str">
        <x:v>Time Sheet</x:v>
      </x:c>
      <x:c r="I136" s="32" t="n">
        <x:v>65</x:v>
      </x:c>
      <x:c r="J136" s="32" t="str"/>
    </x:row>
    <x:row r="137" ht="42" customHeight="1">
      <x:c r="A137" s="32" t="str">
        <x:v>Сауле Бадамбаева</x:v>
      </x:c>
      <x:c r="B137" s="32" t="str">
        <x:v>rootToLive</x:v>
      </x:c>
      <x:c r="C137" s="32" t="str">
        <x:v>source_only</x:v>
      </x:c>
      <x:c r="D137" s="32" t="str">
        <x:v>2024-12-27</x:v>
      </x:c>
      <x:c r="E137" s="32" t="n">
        <x:v>4</x:v>
      </x:c>
      <x:c r="F137" s="32" t="str">
        <x:v>---------Отсутствие по уважительной причине(Отпуск, больничный, и.т.д)------------</x:v>
      </x:c>
      <x:c r="G137" s="32" t="str">
        <x:v>Поздравление Клиентов с новым годом</x:v>
      </x:c>
      <x:c r="H137" s="32" t="str">
        <x:v>Time Sheet</x:v>
      </x:c>
      <x:c r="I137" s="32" t="n">
        <x:v>67</x:v>
      </x:c>
      <x:c r="J137" s="32" t="str"/>
    </x:row>
    <x:row r="138" ht="42" customHeight="1">
      <x:c r="A138" s="32" t="str">
        <x:v>Сауле Бадамбаева</x:v>
      </x:c>
      <x:c r="B138" s="32" t="str">
        <x:v>rootToLive</x:v>
      </x:c>
      <x:c r="C138" s="32" t="str">
        <x:v>source_only</x:v>
      </x:c>
      <x:c r="D138" s="32" t="str">
        <x:v>2024-12-30</x:v>
      </x:c>
      <x:c r="E138" s="32" t="n">
        <x:v>8</x:v>
      </x:c>
      <x:c r="F138" s="32" t="str"/>
      <x:c r="G138" s="32" t="str"/>
      <x:c r="H138" s="32" t="str">
        <x:v>Time Sheet</x:v>
      </x:c>
      <x:c r="I138" s="32" t="n">
        <x:v>69</x:v>
      </x:c>
      <x:c r="J138" s="32" t="str"/>
    </x:row>
    <x:row r="139" ht="42" customHeight="1">
      <x:c r="A139" s="32" t="str">
        <x:v>Сауле Бадамбаева</x:v>
      </x:c>
      <x:c r="B139" s="32" t="str">
        <x:v>rootToLive</x:v>
      </x:c>
      <x:c r="C139" s="32" t="str">
        <x:v>source_only</x:v>
      </x:c>
      <x:c r="D139" s="32" t="str">
        <x:v>2024-12-31</x:v>
      </x:c>
      <x:c r="E139" s="32" t="n">
        <x:v>8</x:v>
      </x:c>
      <x:c r="F139" s="32" t="str">
        <x:v>---------Отсутствие по уважительной причине(Отпуск, больничный, и.т.д)------------</x:v>
      </x:c>
      <x:c r="G139" s="32" t="str">
        <x:v>Объявлен выходным. На работу выход 05.01.25.</x:v>
      </x:c>
      <x:c r="H139" s="32" t="str">
        <x:v>Time Sheet</x:v>
      </x:c>
      <x:c r="I139" s="32" t="n">
        <x:v>70</x:v>
      </x:c>
      <x:c r="J139" s="32" t="str"/>
    </x:row>
    <x:row r="140" ht="42" customHeight="1">
      <x:c r="A140" s="32" t="str">
        <x:v>Сауле Бадамбаева</x:v>
      </x:c>
      <x:c r="B140" s="32" t="str">
        <x:v>rootToLive</x:v>
      </x:c>
      <x:c r="C140" s="32" t="str">
        <x:v>source_only</x:v>
      </x:c>
      <x:c r="D140" s="32" t="str">
        <x:v>2025-01-07</x:v>
      </x:c>
      <x:c r="E140" s="32" t="n">
        <x:v>8</x:v>
      </x:c>
      <x:c r="F140" s="32" t="str">
        <x:v>---------Отсутствие по уважительной причине(Отпуск, больничный, и.т.д)------------</x:v>
      </x:c>
      <x:c r="G140" s="32" t="str">
        <x:v>Прздничный день, Рождество</x:v>
      </x:c>
      <x:c r="H140" s="32" t="str">
        <x:v>Time Sheet</x:v>
      </x:c>
      <x:c r="I140" s="32" t="n">
        <x:v>73</x:v>
      </x:c>
      <x:c r="J140" s="32" t="str"/>
    </x:row>
    <x:row r="141" ht="42" customHeight="1">
      <x:c r="A141" s="32" t="str">
        <x:v>Сауле Бадамбаева</x:v>
      </x:c>
      <x:c r="B141" s="32" t="str">
        <x:v>rootToLive</x:v>
      </x:c>
      <x:c r="C141" s="32" t="str">
        <x:v>source_only</x:v>
      </x:c>
      <x:c r="D141" s="32" t="str">
        <x:v>2025-02-07</x:v>
      </x:c>
      <x:c r="E141" s="32" t="n">
        <x:v>4</x:v>
      </x:c>
      <x:c r="F141" s="32" t="str">
        <x:v>---------Отсутствие по уважительной причине(Отпуск, больничный, и.т.д)------------</x:v>
      </x:c>
      <x:c r="G141" s="32" t="str">
        <x:v>с утра на прохождение экзамена тестирование по Фин.Мониторингу (обязательный для Аудитора). 60 балл из 70.</x:v>
      </x:c>
      <x:c r="H141" s="32" t="str">
        <x:v>Time Sheet</x:v>
      </x:c>
      <x:c r="I141" s="32" t="n">
        <x:v>101</x:v>
      </x:c>
      <x:c r="J141" s="32" t="str"/>
    </x:row>
    <x:row r="142" ht="42" customHeight="1">
      <x:c r="A142" s="32" t="str">
        <x:v>Сауле Бадамбаева</x:v>
      </x:c>
      <x:c r="B142" s="32" t="str">
        <x:v>rootToLive</x:v>
      </x:c>
      <x:c r="C142" s="32" t="str">
        <x:v>source_only</x:v>
      </x:c>
      <x:c r="D142" s="32" t="str">
        <x:v>2025-02-10</x:v>
      </x:c>
      <x:c r="E142" s="32" t="n">
        <x:v>4</x:v>
      </x:c>
      <x:c r="F142" s="32" t="str">
        <x:v>---------Отсутствие по уважительной причине(Отпуск, больничный, и.т.д)------------</x:v>
      </x:c>
      <x:c r="G142" s="32" t="str">
        <x:v>с утра на прохождение экзамена тестирования по Фин.Мониторингу (обязательный для Аудитора)</x:v>
      </x:c>
      <x:c r="H142" s="32" t="str">
        <x:v>Time Sheet</x:v>
      </x:c>
      <x:c r="I142" s="32" t="n">
        <x:v>103</x:v>
      </x:c>
      <x:c r="J142" s="32" t="str"/>
    </x:row>
    <x:row r="143" ht="42" customHeight="1">
      <x:c r="A143" s="32" t="str">
        <x:v>Сауле Бадамбаева</x:v>
      </x:c>
      <x:c r="B143" s="32" t="str">
        <x:v>rootToLive</x:v>
      </x:c>
      <x:c r="C143" s="32" t="str">
        <x:v>source_only</x:v>
      </x:c>
      <x:c r="D143" s="32" t="str">
        <x:v>2025-02-12</x:v>
      </x:c>
      <x:c r="E143" s="32" t="n">
        <x:v>4</x:v>
      </x:c>
      <x:c r="F143" s="32" t="str">
        <x:v>---------Отсутствие по уважительной причине(Отпуск, больничный, и.т.д)------------</x:v>
      </x:c>
      <x:c r="G143" s="32" t="str">
        <x:v>с утра на тестирование по ФМ (обязательно для аудитора)</x:v>
      </x:c>
      <x:c r="H143" s="32" t="str">
        <x:v>Time Sheet</x:v>
      </x:c>
      <x:c r="I143" s="32" t="n">
        <x:v>106</x:v>
      </x:c>
      <x:c r="J143" s="32" t="str"/>
    </x:row>
    <x:row r="144" ht="42" customHeight="1">
      <x:c r="A144" s="32" t="str">
        <x:v>Сауле Бадамбаева</x:v>
      </x:c>
      <x:c r="B144" s="32" t="str">
        <x:v>rootToLive</x:v>
      </x:c>
      <x:c r="C144" s="32" t="str">
        <x:v>source_only</x:v>
      </x:c>
      <x:c r="D144" s="32" t="str">
        <x:v>2025-02-14</x:v>
      </x:c>
      <x:c r="E144" s="32" t="n">
        <x:v>8</x:v>
      </x:c>
      <x:c r="F144" s="32" t="str">
        <x:v>---------Отсутствие по уважительной причине(Отпуск, больничный, и.т.д)------------</x:v>
      </x:c>
      <x:c r="G144" s="32" t="str">
        <x:v>Взяла дни с прошлого периода. Согласовали</x:v>
      </x:c>
      <x:c r="H144" s="32" t="str">
        <x:v>Time Sheet</x:v>
      </x:c>
      <x:c r="I144" s="32" t="n">
        <x:v>109</x:v>
      </x:c>
      <x:c r="J144" s="32" t="str"/>
    </x:row>
    <x:row r="145" ht="42" customHeight="1">
      <x:c r="A145" s="32" t="str">
        <x:v>Сауле Бадамбаева</x:v>
      </x:c>
      <x:c r="B145" s="32" t="str">
        <x:v>rootToLive</x:v>
      </x:c>
      <x:c r="C145" s="32" t="str">
        <x:v>source_only</x:v>
      </x:c>
      <x:c r="D145" s="32" t="str">
        <x:v>2025-02-17</x:v>
      </x:c>
      <x:c r="E145" s="32" t="n">
        <x:v>8</x:v>
      </x:c>
      <x:c r="F145" s="32" t="str">
        <x:v>---------Отсутствие по уважительной причине(Отпуск, больничный, и.т.д)------------</x:v>
      </x:c>
      <x:c r="G145" s="32" t="str">
        <x:v>Взяла дни с прошлого периода. Согласовали</x:v>
      </x:c>
      <x:c r="H145" s="32" t="str">
        <x:v>Time Sheet</x:v>
      </x:c>
      <x:c r="I145" s="32" t="n">
        <x:v>110</x:v>
      </x:c>
      <x:c r="J145" s="32" t="str"/>
    </x:row>
    <x:row r="146" ht="42" customHeight="1">
      <x:c r="A146" s="32" t="str">
        <x:v>Сауле Бадамбаева</x:v>
      </x:c>
      <x:c r="B146" s="32" t="str">
        <x:v>rootToLive</x:v>
      </x:c>
      <x:c r="C146" s="32" t="str">
        <x:v>source_only</x:v>
      </x:c>
      <x:c r="D146" s="32" t="str">
        <x:v>2025-02-18</x:v>
      </x:c>
      <x:c r="E146" s="32" t="n">
        <x:v>8</x:v>
      </x:c>
      <x:c r="F146" s="32" t="str">
        <x:v>---------Отсутствие по уважительной причине(Отпуск, больничный, и.т.д)------------</x:v>
      </x:c>
      <x:c r="G146" s="32" t="str">
        <x:v>Взяла дни с прошлого периода. Согласовали</x:v>
      </x:c>
      <x:c r="H146" s="32" t="str">
        <x:v>Time Sheet</x:v>
      </x:c>
      <x:c r="I146" s="32" t="n">
        <x:v>111</x:v>
      </x:c>
      <x:c r="J146" s="32" t="str"/>
    </x:row>
    <x:row r="147" ht="42" customHeight="1">
      <x:c r="A147" s="32" t="str">
        <x:v>Сауле Бадамбаева</x:v>
      </x:c>
      <x:c r="B147" s="32" t="str">
        <x:v>rootToLive</x:v>
      </x:c>
      <x:c r="C147" s="32" t="str">
        <x:v>source_only</x:v>
      </x:c>
      <x:c r="D147" s="32" t="str">
        <x:v>2025-02-19</x:v>
      </x:c>
      <x:c r="E147" s="32" t="n">
        <x:v>8</x:v>
      </x:c>
      <x:c r="F147" s="32" t="str">
        <x:v>---------Отсутствие по уважительной причине(Отпуск, больничный, и.т.д)------------</x:v>
      </x:c>
      <x:c r="G147" s="32" t="str">
        <x:v>Взяла дни с прошлого периода. Согласовали</x:v>
      </x:c>
      <x:c r="H147" s="32" t="str">
        <x:v>Time Sheet</x:v>
      </x:c>
      <x:c r="I147" s="32" t="n">
        <x:v>112</x:v>
      </x:c>
      <x:c r="J147" s="32" t="str"/>
    </x:row>
    <x:row r="148" ht="42" customHeight="1">
      <x:c r="A148" s="32" t="str">
        <x:v>Сауле Бадамбаева</x:v>
      </x:c>
      <x:c r="B148" s="32" t="str">
        <x:v>rootToLive</x:v>
      </x:c>
      <x:c r="C148" s="32" t="str">
        <x:v>source_only</x:v>
      </x:c>
      <x:c r="D148" s="32" t="str">
        <x:v>2025-02-20</x:v>
      </x:c>
      <x:c r="E148" s="32" t="n">
        <x:v>4</x:v>
      </x:c>
      <x:c r="F148" s="32" t="str">
        <x:v>---------Отсутствие по уважительной причине(Отпуск, больничный, и.т.д)------------</x:v>
      </x:c>
      <x:c r="G148" s="32" t="str">
        <x:v>Взяла дни с прошлого периода. Согласовали</x:v>
      </x:c>
      <x:c r="H148" s="32" t="str">
        <x:v>Time Sheet</x:v>
      </x:c>
      <x:c r="I148" s="32" t="n">
        <x:v>113</x:v>
      </x:c>
      <x:c r="J148" s="32" t="str"/>
    </x:row>
    <x:row r="149" ht="42" customHeight="1">
      <x:c r="A149" s="32" t="str">
        <x:v>Сауле Бадамбаева</x:v>
      </x:c>
      <x:c r="B149" s="32" t="str">
        <x:v>rootToLive</x:v>
      </x:c>
      <x:c r="C149" s="32" t="str">
        <x:v>source_only</x:v>
      </x:c>
      <x:c r="D149" s="32" t="str">
        <x:v>2025-02-27</x:v>
      </x:c>
      <x:c r="E149" s="32" t="n">
        <x:v>4</x:v>
      </x:c>
      <x:c r="F149" s="32" t="str"/>
      <x:c r="G149" s="32" t="str"/>
      <x:c r="H149" s="32" t="str">
        <x:v>Time Sheet</x:v>
      </x:c>
      <x:c r="I149" s="32" t="n">
        <x:v>123</x:v>
      </x:c>
      <x:c r="J149" s="32" t="str"/>
    </x:row>
    <x:row r="150" ht="42" customHeight="1">
      <x:c r="A150" s="32" t="str">
        <x:v>Сауле Бадамбаева</x:v>
      </x:c>
      <x:c r="B150" s="32" t="str">
        <x:v>rootToLive</x:v>
      </x:c>
      <x:c r="C150" s="32" t="str">
        <x:v>source_only</x:v>
      </x:c>
      <x:c r="D150" s="32" t="str">
        <x:v>2025-03-07</x:v>
      </x:c>
      <x:c r="E150" s="32" t="n">
        <x:v>4</x:v>
      </x:c>
      <x:c r="F150" s="32" t="str">
        <x:v>---------Отсутствие по уважительной причине(Отпуск, больничный, и.т.д)------------</x:v>
      </x:c>
      <x:c r="G150" s="32" t="str">
        <x:v>В СВЯЗИ С ПРАЗДНИКОМ РАБ.ДЕНЬ ПОЛДНЯ</x:v>
      </x:c>
      <x:c r="H150" s="32" t="str">
        <x:v>Time Sheet</x:v>
      </x:c>
      <x:c r="I150" s="32" t="n">
        <x:v>135</x:v>
      </x:c>
      <x:c r="J150" s="32" t="str"/>
    </x:row>
    <x:row r="151" ht="42" customHeight="1">
      <x:c r="A151" s="32" t="str">
        <x:v>Сауле Бадамбаева</x:v>
      </x:c>
      <x:c r="B151" s="32" t="str">
        <x:v>rootToLive</x:v>
      </x:c>
      <x:c r="C151" s="32" t="str">
        <x:v>source_only</x:v>
      </x:c>
      <x:c r="D151" s="32" t="str">
        <x:v>2025-03-13</x:v>
      </x:c>
      <x:c r="E151" s="32" t="n">
        <x:v>2</x:v>
      </x:c>
      <x:c r="F151" s="32" t="str"/>
      <x:c r="G151" s="32" t="str">
        <x:v>отпросилась</x:v>
      </x:c>
      <x:c r="H151" s="32" t="str">
        <x:v>Time Sheet</x:v>
      </x:c>
      <x:c r="I151" s="32" t="n">
        <x:v>141</x:v>
      </x:c>
      <x:c r="J151" s="32" t="str"/>
    </x:row>
    <x:row r="152" ht="42" customHeight="1">
      <x:c r="A152" s="32" t="str">
        <x:v>Сауле Бадамбаева</x:v>
      </x:c>
      <x:c r="B152" s="32" t="str">
        <x:v>rootToLive</x:v>
      </x:c>
      <x:c r="C152" s="32" t="str">
        <x:v>source_only</x:v>
      </x:c>
      <x:c r="D152" s="32" t="str">
        <x:v>2025-03-19</x:v>
      </x:c>
      <x:c r="E152" s="32" t="n">
        <x:v>4</x:v>
      </x:c>
      <x:c r="F152" s="32" t="str">
        <x:v>АО НК СПК Алматы (за период 2023-2025) Аудит ФО за 2024 год</x:v>
      </x:c>
      <x:c r="G152" s="32" t="str">
        <x:v>ВОПРОС ПО ЗАЙМАМ, ОТЧЕТАМ ДАМУ, ЛЬГОТНОЙ СТАВКЕ, ДИСКОНТИРОВАНИЯ</x:v>
      </x:c>
      <x:c r="H152" s="32" t="str">
        <x:v>Time Sheet</x:v>
      </x:c>
      <x:c r="I152" s="32" t="n">
        <x:v>149</x:v>
      </x:c>
      <x:c r="J152" s="32" t="str"/>
    </x:row>
    <x:row r="153" ht="42" customHeight="1">
      <x:c r="A153" s="32" t="str">
        <x:v>Сауле Бадамбаева</x:v>
      </x:c>
      <x:c r="B153" s="32" t="str">
        <x:v>rootToLive</x:v>
      </x:c>
      <x:c r="C153" s="32" t="str">
        <x:v>source_only</x:v>
      </x:c>
      <x:c r="D153" s="32" t="str">
        <x:v>2025-03-21</x:v>
      </x:c>
      <x:c r="E153" s="32" t="n">
        <x:v>8</x:v>
      </x:c>
      <x:c r="F153" s="32" t="str">
        <x:v>---------Отсутствие по уважительной причине(Отпуск, больничный, и.т.д)------------</x:v>
      </x:c>
      <x:c r="G153" s="32" t="str">
        <x:v>НАУРЫЗ</x:v>
      </x:c>
      <x:c r="H153" s="32" t="str">
        <x:v>Time Sheet</x:v>
      </x:c>
      <x:c r="I153" s="32" t="n">
        <x:v>151</x:v>
      </x:c>
      <x:c r="J153" s="32" t="str"/>
    </x:row>
    <x:row r="154" ht="42" customHeight="1">
      <x:c r="A154" s="32" t="str">
        <x:v>Сауле Бадамбаева</x:v>
      </x:c>
      <x:c r="B154" s="32" t="str">
        <x:v>rootToLive</x:v>
      </x:c>
      <x:c r="C154" s="32" t="str">
        <x:v>source_only</x:v>
      </x:c>
      <x:c r="D154" s="32" t="str">
        <x:v>2025-03-24</x:v>
      </x:c>
      <x:c r="E154" s="32" t="n">
        <x:v>8</x:v>
      </x:c>
      <x:c r="F154" s="32" t="str">
        <x:v>---------Отсутствие по уважительной причине(Отпуск, больничный, и.т.д)------------</x:v>
      </x:c>
      <x:c r="G154" s="32" t="str">
        <x:v>НАУРЫЗ</x:v>
      </x:c>
      <x:c r="H154" s="32" t="str">
        <x:v>Time Sheet</x:v>
      </x:c>
      <x:c r="I154" s="32" t="n">
        <x:v>152</x:v>
      </x:c>
      <x:c r="J154" s="32" t="str"/>
    </x:row>
    <x:row r="155" ht="42" customHeight="1">
      <x:c r="A155" s="32" t="str">
        <x:v>Сауле Бадамбаева</x:v>
      </x:c>
      <x:c r="B155" s="32" t="str">
        <x:v>rootToLive</x:v>
      </x:c>
      <x:c r="C155" s="32" t="str">
        <x:v>source_only</x:v>
      </x:c>
      <x:c r="D155" s="32" t="str">
        <x:v>2025-03-25</x:v>
      </x:c>
      <x:c r="E155" s="32" t="n">
        <x:v>8</x:v>
      </x:c>
      <x:c r="F155" s="32" t="str">
        <x:v>---------Отсутствие по уважительной причине(Отпуск, больничный, и.т.д)------------</x:v>
      </x:c>
      <x:c r="G155" s="32" t="str">
        <x:v>НАУРЫЗ</x:v>
      </x:c>
      <x:c r="H155" s="32" t="str">
        <x:v>Time Sheet</x:v>
      </x:c>
      <x:c r="I155" s="32" t="n">
        <x:v>153</x:v>
      </x:c>
      <x:c r="J155" s="32" t="str"/>
    </x:row>
    <x:row r="156" ht="42" customHeight="1">
      <x:c r="A156" s="32" t="str">
        <x:v>Сауле Бадамбаева</x:v>
      </x:c>
      <x:c r="B156" s="32" t="str">
        <x:v>rootToLive</x:v>
      </x:c>
      <x:c r="C156" s="32" t="str">
        <x:v>source_only</x:v>
      </x:c>
      <x:c r="D156" s="32" t="str">
        <x:v>2025-04-30</x:v>
      </x:c>
      <x:c r="E156" s="32" t="n">
        <x:v>8</x:v>
      </x:c>
      <x:c r="F156" s="32" t="str"/>
      <x:c r="G156" s="32" t="str">
        <x:v>встреча с клиентом</x:v>
      </x:c>
      <x:c r="H156" s="32" t="str">
        <x:v>Time Sheet</x:v>
      </x:c>
      <x:c r="I156" s="32" t="n">
        <x:v>201</x:v>
      </x:c>
      <x:c r="J156" s="32" t="str"/>
    </x:row>
    <x:row r="157" ht="42" customHeight="1">
      <x:c r="A157" s="32" t="str">
        <x:v>Сауле Бадамбаева</x:v>
      </x:c>
      <x:c r="B157" s="32" t="str">
        <x:v>rootToLive</x:v>
      </x:c>
      <x:c r="C157" s="32" t="str">
        <x:v>source_only</x:v>
      </x:c>
      <x:c r="D157" s="32" t="str">
        <x:v>2025-06-19</x:v>
      </x:c>
      <x:c r="E157" s="32" t="n">
        <x:v>8</x:v>
      </x:c>
      <x:c r="F157" s="32" t="str">
        <x:v>---------Отсутствие по уважительной причине(Отпуск, больничный, и.т.д)------------</x:v>
      </x:c>
      <x:c r="G157" s="32" t="str">
        <x:v>отпуск</x:v>
      </x:c>
      <x:c r="H157" s="32" t="str">
        <x:v>Time Sheet</x:v>
      </x:c>
      <x:c r="I157" s="32" t="n">
        <x:v>245</x:v>
      </x:c>
      <x:c r="J157" s="32" t="str"/>
    </x:row>
    <x:row r="158" ht="42" customHeight="1">
      <x:c r="A158" s="32" t="str">
        <x:v>Сауле Бадамбаева</x:v>
      </x:c>
      <x:c r="B158" s="32" t="str">
        <x:v>rootToLive</x:v>
      </x:c>
      <x:c r="C158" s="32" t="str">
        <x:v>source_only</x:v>
      </x:c>
      <x:c r="D158" s="32" t="str">
        <x:v>2025-06-20</x:v>
      </x:c>
      <x:c r="E158" s="32" t="n">
        <x:v>8</x:v>
      </x:c>
      <x:c r="F158" s="32" t="str">
        <x:v>---------Отсутствие по уважительной причине(Отпуск, больничный, и.т.д)------------</x:v>
      </x:c>
      <x:c r="G158" s="32" t="str">
        <x:v>отпуск</x:v>
      </x:c>
      <x:c r="H158" s="32" t="str">
        <x:v>Time Sheet</x:v>
      </x:c>
      <x:c r="I158" s="32" t="n">
        <x:v>246</x:v>
      </x:c>
      <x:c r="J158" s="32" t="str"/>
    </x:row>
    <x:row r="159" ht="42" customHeight="1">
      <x:c r="A159" s="32" t="str">
        <x:v>Сауле Бадамбаева</x:v>
      </x:c>
      <x:c r="B159" s="32" t="str">
        <x:v>rootToLive</x:v>
      </x:c>
      <x:c r="C159" s="32" t="str">
        <x:v>source_only</x:v>
      </x:c>
      <x:c r="D159" s="32" t="str">
        <x:v>2025-06-23</x:v>
      </x:c>
      <x:c r="E159" s="32" t="n">
        <x:v>8</x:v>
      </x:c>
      <x:c r="F159" s="32" t="str">
        <x:v>---------Отсутствие по уважительной причине(Отпуск, больничный, и.т.д)------------</x:v>
      </x:c>
      <x:c r="G159" s="32" t="str">
        <x:v>отпуск</x:v>
      </x:c>
      <x:c r="H159" s="32" t="str">
        <x:v>Time Sheet</x:v>
      </x:c>
      <x:c r="I159" s="32" t="n">
        <x:v>247</x:v>
      </x:c>
      <x:c r="J159" s="32" t="str"/>
    </x:row>
    <x:row r="160" ht="42" customHeight="1">
      <x:c r="A160" s="32" t="str">
        <x:v>Сауле Бадамбаева</x:v>
      </x:c>
      <x:c r="B160" s="32" t="str">
        <x:v>rootToLive</x:v>
      </x:c>
      <x:c r="C160" s="32" t="str">
        <x:v>source_only</x:v>
      </x:c>
      <x:c r="D160" s="32" t="str">
        <x:v>2025-06-24</x:v>
      </x:c>
      <x:c r="E160" s="32" t="n">
        <x:v>8</x:v>
      </x:c>
      <x:c r="F160" s="32" t="str">
        <x:v>---------Отсутствие по уважительной причине(Отпуск, больничный, и.т.д)------------</x:v>
      </x:c>
      <x:c r="G160" s="32" t="str">
        <x:v>отпуск</x:v>
      </x:c>
      <x:c r="H160" s="32" t="str">
        <x:v>Time Sheet</x:v>
      </x:c>
      <x:c r="I160" s="32" t="n">
        <x:v>248</x:v>
      </x:c>
      <x:c r="J160" s="32" t="str"/>
    </x:row>
    <x:row r="161" ht="42" customHeight="1">
      <x:c r="A161" s="32" t="str">
        <x:v>Сауле Бадамбаева</x:v>
      </x:c>
      <x:c r="B161" s="32" t="str">
        <x:v>rootToLive</x:v>
      </x:c>
      <x:c r="C161" s="32" t="str">
        <x:v>source_only</x:v>
      </x:c>
      <x:c r="D161" s="32" t="str">
        <x:v>2025-06-25</x:v>
      </x:c>
      <x:c r="E161" s="32" t="n">
        <x:v>8</x:v>
      </x:c>
      <x:c r="F161" s="32" t="str">
        <x:v>---------Отсутствие по уважительной причине(Отпуск, больничный, и.т.д)------------</x:v>
      </x:c>
      <x:c r="G161" s="32" t="str">
        <x:v>отпуск</x:v>
      </x:c>
      <x:c r="H161" s="32" t="str">
        <x:v>Time Sheet</x:v>
      </x:c>
      <x:c r="I161" s="32" t="n">
        <x:v>249</x:v>
      </x:c>
      <x:c r="J161" s="32" t="str"/>
    </x:row>
    <x:row r="162" ht="42" customHeight="1">
      <x:c r="A162" s="32" t="str">
        <x:v>Сауле Бадамбаева</x:v>
      </x:c>
      <x:c r="B162" s="32" t="str">
        <x:v>rootToLive</x:v>
      </x:c>
      <x:c r="C162" s="32" t="str">
        <x:v>source_only</x:v>
      </x:c>
      <x:c r="D162" s="32" t="str">
        <x:v>2025-08-07</x:v>
      </x:c>
      <x:c r="E162" s="32" t="n">
        <x:v>8</x:v>
      </x:c>
      <x:c r="F162" s="32" t="str">
        <x:v>---------Отсутствие по уважительной причине(Отпуск, больничный, и.т.д)------------</x:v>
      </x:c>
      <x:c r="G162" s="32" t="str">
        <x:v>отпуск с 07.08.25 по 17.08.25-11дней</x:v>
      </x:c>
      <x:c r="H162" s="32" t="str">
        <x:v>Time Sheet</x:v>
      </x:c>
      <x:c r="I162" s="32" t="n">
        <x:v>287</x:v>
      </x:c>
      <x:c r="J162" s="32" t="str"/>
    </x:row>
    <x:row r="163" ht="42" customHeight="1">
      <x:c r="A163" s="32" t="str">
        <x:v>Сауле Бадамбаева</x:v>
      </x:c>
      <x:c r="B163" s="32" t="str">
        <x:v>rootToLive</x:v>
      </x:c>
      <x:c r="C163" s="32" t="str">
        <x:v>source_only</x:v>
      </x:c>
      <x:c r="D163" s="32" t="str">
        <x:v>2025-08-08</x:v>
      </x:c>
      <x:c r="E163" s="32" t="n">
        <x:v>8</x:v>
      </x:c>
      <x:c r="F163" s="32" t="str">
        <x:v>---------Отсутствие по уважительной причине(Отпуск, больничный, и.т.д)------------</x:v>
      </x:c>
      <x:c r="G163" s="32" t="str">
        <x:v>отпуск с 07.08.25 по 17.08.25-11дней</x:v>
      </x:c>
      <x:c r="H163" s="32" t="str">
        <x:v>Time Sheet</x:v>
      </x:c>
      <x:c r="I163" s="32" t="n">
        <x:v>288</x:v>
      </x:c>
      <x:c r="J163" s="32" t="str"/>
    </x:row>
    <x:row r="164" ht="42" customHeight="1">
      <x:c r="A164" s="32" t="str">
        <x:v>Сауле Бадамбаева</x:v>
      </x:c>
      <x:c r="B164" s="32" t="str">
        <x:v>rootToLive</x:v>
      </x:c>
      <x:c r="C164" s="32" t="str">
        <x:v>source_only</x:v>
      </x:c>
      <x:c r="D164" s="32" t="str">
        <x:v>2025-08-11</x:v>
      </x:c>
      <x:c r="E164" s="32" t="n">
        <x:v>8</x:v>
      </x:c>
      <x:c r="F164" s="32" t="str">
        <x:v>---------Отсутствие по уважительной причине(Отпуск, больничный, и.т.д)------------</x:v>
      </x:c>
      <x:c r="G164" s="32" t="str">
        <x:v>отпуск с 07.08.25 по 17.08.25-11дней</x:v>
      </x:c>
      <x:c r="H164" s="32" t="str">
        <x:v>Time Sheet</x:v>
      </x:c>
      <x:c r="I164" s="32" t="n">
        <x:v>289</x:v>
      </x:c>
      <x:c r="J164" s="32" t="str"/>
    </x:row>
    <x:row r="165" ht="42" customHeight="1">
      <x:c r="A165" s="32" t="str">
        <x:v>Сауле Бадамбаева</x:v>
      </x:c>
      <x:c r="B165" s="32" t="str">
        <x:v>rootToLive</x:v>
      </x:c>
      <x:c r="C165" s="32" t="str">
        <x:v>source_only</x:v>
      </x:c>
      <x:c r="D165" s="32" t="str">
        <x:v>2025-08-12</x:v>
      </x:c>
      <x:c r="E165" s="32" t="n">
        <x:v>8</x:v>
      </x:c>
      <x:c r="F165" s="32" t="str">
        <x:v>---------Отсутствие по уважительной причине(Отпуск, больничный, и.т.д)------------</x:v>
      </x:c>
      <x:c r="G165" s="32" t="str">
        <x:v>отпуск с 07.08.25 по 17.08.25-11дней</x:v>
      </x:c>
      <x:c r="H165" s="32" t="str">
        <x:v>Time Sheet</x:v>
      </x:c>
      <x:c r="I165" s="32" t="n">
        <x:v>290</x:v>
      </x:c>
      <x:c r="J165" s="32" t="str"/>
    </x:row>
    <x:row r="166" ht="42" customHeight="1">
      <x:c r="A166" s="32" t="str">
        <x:v>Сауле Бадамбаева</x:v>
      </x:c>
      <x:c r="B166" s="32" t="str">
        <x:v>rootToLive</x:v>
      </x:c>
      <x:c r="C166" s="32" t="str">
        <x:v>source_only</x:v>
      </x:c>
      <x:c r="D166" s="32" t="str">
        <x:v>2025-08-13</x:v>
      </x:c>
      <x:c r="E166" s="32" t="n">
        <x:v>8</x:v>
      </x:c>
      <x:c r="F166" s="32" t="str">
        <x:v>---------Отсутствие по уважительной причине(Отпуск, больничный, и.т.д)------------</x:v>
      </x:c>
      <x:c r="G166" s="32" t="str">
        <x:v>отпуск с 07.08.25 по 17.08.25-11дней</x:v>
      </x:c>
      <x:c r="H166" s="32" t="str">
        <x:v>Time Sheet</x:v>
      </x:c>
      <x:c r="I166" s="32" t="n">
        <x:v>291</x:v>
      </x:c>
      <x:c r="J166" s="32" t="str"/>
    </x:row>
    <x:row r="167" ht="42" customHeight="1">
      <x:c r="A167" s="32" t="str">
        <x:v>Сауле Бадамбаева</x:v>
      </x:c>
      <x:c r="B167" s="32" t="str">
        <x:v>rootToLive</x:v>
      </x:c>
      <x:c r="C167" s="32" t="str">
        <x:v>source_only</x:v>
      </x:c>
      <x:c r="D167" s="32" t="str">
        <x:v>2025-08-14</x:v>
      </x:c>
      <x:c r="E167" s="32" t="n">
        <x:v>8</x:v>
      </x:c>
      <x:c r="F167" s="32" t="str">
        <x:v>---------Отсутствие по уважительной причине(Отпуск, больничный, и.т.д)------------</x:v>
      </x:c>
      <x:c r="G167" s="32" t="str">
        <x:v>отпуск с 07.08.25 по 17.08.25-11дней</x:v>
      </x:c>
      <x:c r="H167" s="32" t="str">
        <x:v>Time Sheet</x:v>
      </x:c>
      <x:c r="I167" s="32" t="n">
        <x:v>292</x:v>
      </x:c>
      <x:c r="J167" s="32" t="str"/>
    </x:row>
    <x:row r="168" ht="42" customHeight="1">
      <x:c r="A168" s="32" t="str">
        <x:v>Сауле Бадамбаева</x:v>
      </x:c>
      <x:c r="B168" s="32" t="str">
        <x:v>rootToLive</x:v>
      </x:c>
      <x:c r="C168" s="32" t="str">
        <x:v>source_only</x:v>
      </x:c>
      <x:c r="D168" s="32" t="str">
        <x:v>2025-08-15</x:v>
      </x:c>
      <x:c r="E168" s="32" t="n">
        <x:v>8</x:v>
      </x:c>
      <x:c r="F168" s="32" t="str">
        <x:v>---------Отсутствие по уважительной причине(Отпуск, больничный, и.т.д)------------</x:v>
      </x:c>
      <x:c r="G168" s="32" t="str">
        <x:v>отпуск с 07.08.25 по 17.08.25-11дней</x:v>
      </x:c>
      <x:c r="H168" s="32" t="str">
        <x:v>Time Sheet</x:v>
      </x:c>
      <x:c r="I168" s="32" t="n">
        <x:v>293</x:v>
      </x:c>
      <x:c r="J168" s="32" t="str"/>
    </x:row>
    <x:row r="169" ht="42" customHeight="1">
      <x:c r="A169" s="32" t="str">
        <x:v>Сауле Бадамбаева</x:v>
      </x:c>
      <x:c r="B169" s="32" t="str">
        <x:v>rootToLive</x:v>
      </x:c>
      <x:c r="C169" s="32" t="str">
        <x:v>source_only</x:v>
      </x:c>
      <x:c r="D169" s="32" t="str">
        <x:v>2025-09-15</x:v>
      </x:c>
      <x:c r="E169" s="32" t="n">
        <x:v>8</x:v>
      </x:c>
      <x:c r="F169" s="32" t="str">
        <x:v>---------Без проекта----------</x:v>
      </x:c>
      <x:c r="G169" s="32" t="str">
        <x:v>Обзор обучающих семинаров.</x:v>
      </x:c>
      <x:c r="H169" s="32" t="str">
        <x:v>Time Sheet</x:v>
      </x:c>
      <x:c r="I169" s="32" t="n">
        <x:v>323</x:v>
      </x:c>
      <x:c r="J169" s="32" t="str"/>
    </x:row>
    <x:row r="170" ht="42" customHeight="1">
      <x:c r="A170" s="32" t="str">
        <x:v>Сауле Бадамбаева</x:v>
      </x:c>
      <x:c r="B170" s="32" t="str">
        <x:v>rootToLive</x:v>
      </x:c>
      <x:c r="C170" s="32" t="str">
        <x:v>source_only</x:v>
      </x:c>
      <x:c r="D170" s="32" t="str">
        <x:v>2025-09-16</x:v>
      </x:c>
      <x:c r="E170" s="32" t="n">
        <x:v>8</x:v>
      </x:c>
      <x:c r="F170" s="32" t="str">
        <x:v>---------Без проекта----------</x:v>
      </x:c>
      <x:c r="G170" s="32" t="str">
        <x:v>Обзор нового проекта Транко. Обучающие семинары</x:v>
      </x:c>
      <x:c r="H170" s="32" t="str">
        <x:v>Time Sheet</x:v>
      </x:c>
      <x:c r="I170" s="32" t="n">
        <x:v>324</x:v>
      </x:c>
      <x:c r="J170" s="32" t="str"/>
    </x:row>
    <x:row r="171" ht="42" customHeight="1">
      <x:c r="A171" s="32" t="str">
        <x:v>Сауле Бадамбаева</x:v>
      </x:c>
      <x:c r="B171" s="32" t="str">
        <x:v>rootToLive</x:v>
      </x:c>
      <x:c r="C171" s="32" t="str">
        <x:v>source_only</x:v>
      </x:c>
      <x:c r="D171" s="32" t="str">
        <x:v>2025-10-28</x:v>
      </x:c>
      <x:c r="E171" s="32" t="n">
        <x:v>8</x:v>
      </x:c>
      <x:c r="F171" s="32" t="str">
        <x:v>---------Отсутствие по уважительной причине(Отпуск, больничный, и.т.д)------------</x:v>
      </x:c>
      <x:c r="G171" s="32" t="str">
        <x:v>Один день использован в счет трудового отпуска (по согласованию). Остаток дней - 6.</x:v>
      </x:c>
      <x:c r="H171" s="32" t="str">
        <x:v>Time Sheet</x:v>
      </x:c>
      <x:c r="I171" s="32" t="n">
        <x:v>361</x:v>
      </x:c>
      <x:c r="J171" s="32" t="str"/>
    </x:row>
    <x:row r="172" ht="42" customHeight="1">
      <x:c r="A172" s="32" t="str">
        <x:v>Сауле Бадамбаева</x:v>
      </x:c>
      <x:c r="B172" s="32" t="str">
        <x:v>rootToLive</x:v>
      </x:c>
      <x:c r="C172" s="32" t="str">
        <x:v>source_only</x:v>
      </x:c>
      <x:c r="D172" s="32" t="str">
        <x:v>2025-11-18</x:v>
      </x:c>
      <x:c r="E172" s="32" t="n">
        <x:v>8</x:v>
      </x:c>
      <x:c r="F172" s="32" t="str">
        <x:v>---------Отсутствие по уважительной причине(Отпуск, больничный, и.т.д)------------</x:v>
      </x:c>
      <x:c r="G172" s="32" t="str">
        <x:v>Принятие мед.процедуры</x:v>
      </x:c>
      <x:c r="H172" s="32" t="str">
        <x:v>Time Sheet</x:v>
      </x:c>
      <x:c r="I172" s="32" t="n">
        <x:v>381</x:v>
      </x:c>
      <x:c r="J172" s="32" t="str"/>
    </x:row>
    <x:row r="173" ht="42" customHeight="1">
      <x:c r="A173" s="32" t="str">
        <x:v>Сауле Бадамбаева</x:v>
      </x:c>
      <x:c r="B173" s="32" t="str">
        <x:v>rootToLive</x:v>
      </x:c>
      <x:c r="C173" s="32" t="str">
        <x:v>source_only</x:v>
      </x:c>
      <x:c r="D173" s="32" t="str">
        <x:v>2025-12-18</x:v>
      </x:c>
      <x:c r="E173" s="32" t="n">
        <x:v>8</x:v>
      </x:c>
      <x:c r="F173" s="32" t="str">
        <x:v>---------Отсутствие по уважительной причине(Отпуск, больничный, и.т.д)------------</x:v>
      </x:c>
      <x:c r="G173" s="32" t="str">
        <x:v>отпуск 8 кал.дней с 18.12 по 25.12</x:v>
      </x:c>
      <x:c r="H173" s="32" t="str">
        <x:v>Time Sheet</x:v>
      </x:c>
      <x:c r="I173" s="32" t="n">
        <x:v>414</x:v>
      </x:c>
      <x:c r="J173" s="32" t="str"/>
    </x:row>
    <x:row r="174" ht="42" customHeight="1">
      <x:c r="A174" s="32" t="str">
        <x:v>Сауле Бадамбаева</x:v>
      </x:c>
      <x:c r="B174" s="32" t="str">
        <x:v>rootToLive</x:v>
      </x:c>
      <x:c r="C174" s="32" t="str">
        <x:v>source_only</x:v>
      </x:c>
      <x:c r="D174" s="32" t="str">
        <x:v>2025-12-19</x:v>
      </x:c>
      <x:c r="E174" s="32" t="n">
        <x:v>8</x:v>
      </x:c>
      <x:c r="F174" s="32" t="str">
        <x:v>---------Отсутствие по уважительной причине(Отпуск, больничный, и.т.д)------------</x:v>
      </x:c>
      <x:c r="G174" s="32" t="str">
        <x:v>отпуск 8 кал.дней с 18.12 по 25.12</x:v>
      </x:c>
      <x:c r="H174" s="32" t="str">
        <x:v>Time Sheet</x:v>
      </x:c>
      <x:c r="I174" s="32" t="n">
        <x:v>415</x:v>
      </x:c>
      <x:c r="J174" s="32" t="str"/>
    </x:row>
    <x:row r="175" ht="42" customHeight="1">
      <x:c r="A175" s="32" t="str">
        <x:v>Сауле Бадамбаева</x:v>
      </x:c>
      <x:c r="B175" s="32" t="str">
        <x:v>rootToLive</x:v>
      </x:c>
      <x:c r="C175" s="32" t="str">
        <x:v>source_only</x:v>
      </x:c>
      <x:c r="D175" s="32" t="str">
        <x:v>2025-12-22</x:v>
      </x:c>
      <x:c r="E175" s="32" t="n">
        <x:v>8</x:v>
      </x:c>
      <x:c r="F175" s="32" t="str">
        <x:v>---------Отсутствие по уважительной причине(Отпуск, больничный, и.т.д)------------</x:v>
      </x:c>
      <x:c r="G175" s="32" t="str">
        <x:v>отпуск 8 кал.дней с 18.12 по 25.12</x:v>
      </x:c>
      <x:c r="H175" s="32" t="str">
        <x:v>Time Sheet</x:v>
      </x:c>
      <x:c r="I175" s="32" t="n">
        <x:v>416</x:v>
      </x:c>
      <x:c r="J175" s="32" t="str"/>
    </x:row>
    <x:row r="176" ht="42" customHeight="1">
      <x:c r="A176" s="32" t="str">
        <x:v>Сауле Бадамбаева</x:v>
      </x:c>
      <x:c r="B176" s="32" t="str">
        <x:v>rootToLive</x:v>
      </x:c>
      <x:c r="C176" s="32" t="str">
        <x:v>source_only</x:v>
      </x:c>
      <x:c r="D176" s="32" t="str">
        <x:v>2025-12-23</x:v>
      </x:c>
      <x:c r="E176" s="32" t="n">
        <x:v>8</x:v>
      </x:c>
      <x:c r="F176" s="32" t="str">
        <x:v>---------Отсутствие по уважительной причине(Отпуск, больничный, и.т.д)------------</x:v>
      </x:c>
      <x:c r="G176" s="32" t="str">
        <x:v>отпуск 8 кал.дней с 18.12 по 25.12</x:v>
      </x:c>
      <x:c r="H176" s="32" t="str">
        <x:v>Time Sheet</x:v>
      </x:c>
      <x:c r="I176" s="32" t="n">
        <x:v>417</x:v>
      </x:c>
      <x:c r="J176" s="32" t="str"/>
    </x:row>
    <x:row r="177" ht="42" customHeight="1">
      <x:c r="A177" s="32" t="str">
        <x:v>Сауле Бадамбаева</x:v>
      </x:c>
      <x:c r="B177" s="32" t="str">
        <x:v>rootToLive</x:v>
      </x:c>
      <x:c r="C177" s="32" t="str">
        <x:v>source_only</x:v>
      </x:c>
      <x:c r="D177" s="32" t="str">
        <x:v>2025-12-31</x:v>
      </x:c>
      <x:c r="E177" s="32" t="n">
        <x:v>8</x:v>
      </x:c>
      <x:c r="F177" s="32" t="str">
        <x:v>---------Отсутствие по уважительной причине(Отпуск, больничный, и.т.д)------------</x:v>
      </x:c>
      <x:c r="G177" s="32" t="str">
        <x:v>объявлено Руководством выходным днем.</x:v>
      </x:c>
      <x:c r="H177" s="32" t="str">
        <x:v>Time Sheet</x:v>
      </x:c>
      <x:c r="I177" s="32" t="n">
        <x:v>423</x:v>
      </x:c>
      <x:c r="J177" s="32" t="str"/>
    </x:row>
    <x:row r="178" ht="42" customHeight="1">
      <x:c r="A178" s="32" t="str">
        <x:v>Сауле Бадамбаева</x:v>
      </x:c>
      <x:c r="B178" s="32" t="str">
        <x:v>rootToLive</x:v>
      </x:c>
      <x:c r="C178" s="32" t="str">
        <x:v>source_only</x:v>
      </x:c>
      <x:c r="D178" s="32" t="str">
        <x:v>2026-01-21</x:v>
      </x:c>
      <x:c r="E178" s="32" t="n">
        <x:v>8</x:v>
      </x:c>
      <x:c r="F178" s="32" t="str">
        <x:v>---------Отсутствие по уважительной причине(Отпуск, больничный, и.т.д)------------</x:v>
      </x:c>
      <x:c r="G178" s="32" t="str">
        <x:v>1 день в счет неиспользованных дней отпуска (2 дня было). На 22.01.26 - остаток 1 день отпуска.</x:v>
      </x:c>
      <x:c r="H178" s="32" t="str">
        <x:v>Time Sheet</x:v>
      </x:c>
      <x:c r="I178" s="32" t="n">
        <x:v>439</x:v>
      </x:c>
      <x:c r="J178" s="32" t="str"/>
    </x:row>
    <x:row r="179" ht="42" customHeight="1">
      <x:c r="A179" s="32" t="str">
        <x:v>Сауле Бадамбаева</x:v>
      </x:c>
      <x:c r="B179" s="32" t="str">
        <x:v>rootToLive</x:v>
      </x:c>
      <x:c r="C179" s="32" t="str">
        <x:v>source_only</x:v>
      </x:c>
      <x:c r="D179" s="32" t="str">
        <x:v>2026-03-03</x:v>
      </x:c>
      <x:c r="E179" s="32" t="n">
        <x:v>8</x:v>
      </x:c>
      <x:c r="F179" s="32" t="str">
        <x:v>Аудит ФО за 2025 год РГП на ПХВ "Казаэронавигация"</x:v>
      </x:c>
      <x:c r="G179" s="32" t="str">
        <x:v>КАЗАЭРОНАВИГАЦИЯ</x:v>
      </x:c>
      <x:c r="H179" s="32" t="str">
        <x:v>Time Sheet</x:v>
      </x:c>
      <x:c r="I179" s="32" t="n">
        <x:v>477</x:v>
      </x:c>
      <x:c r="J179" s="32" t="str"/>
    </x:row>
    <x:row r="180" ht="42" customHeight="1">
      <x:c r="A180" s="32" t="str">
        <x:v>Сауле Бадамбаева</x:v>
      </x:c>
      <x:c r="B180" s="32" t="str">
        <x:v>rootToLive</x:v>
      </x:c>
      <x:c r="C180" s="32" t="str">
        <x:v>source_only</x:v>
      </x:c>
      <x:c r="D180" s="32" t="str">
        <x:v>2026-05-21</x:v>
      </x:c>
      <x:c r="E180" s="32" t="n">
        <x:v>8</x:v>
      </x:c>
      <x:c r="F180" s="32" t="str"/>
      <x:c r="G180" s="32" t="str"/>
      <x:c r="H180" s="32" t="str">
        <x:v>Time Sheet</x:v>
      </x:c>
      <x:c r="I180" s="32" t="n">
        <x:v>564</x:v>
      </x:c>
      <x:c r="J180" s="32" t="str"/>
    </x:row>
    <x:row r="181" ht="42" customHeight="1">
      <x:c r="A181" s="32" t="str">
        <x:v>Сауле Бадамбаева</x:v>
      </x:c>
      <x:c r="B181" s="32" t="str">
        <x:v>rootToLive</x:v>
      </x:c>
      <x:c r="C181" s="32" t="str">
        <x:v>live_only</x:v>
      </x:c>
      <x:c r="D181" s="32" t="str">
        <x:v>2026-06-01</x:v>
      </x:c>
      <x:c r="E181" s="32" t="n">
        <x:v>8</x:v>
      </x:c>
      <x:c r="F181" s="32" t="str">
        <x:v>Частная компания «Allium Ursinum Limited» (Группа компаний Бай-Тау Минералс) Аудит ФО за 2025 год: выпуск аудиторского заключения</x:v>
      </x:c>
      <x:c r="G181" s="32" t="str">
        <x:v>ОТЧЕТ2025</x:v>
      </x:c>
      <x:c r="H181" s="32" t="str">
        <x:v>live batch v3</x:v>
      </x:c>
      <x:c r="I181" s="32" t="n">
        <x:v>27</x:v>
      </x:c>
      <x:c r="J181" s="32" t="str">
        <x:v>submitted</x:v>
      </x:c>
    </x:row>
    <x:row r="182" ht="42" customHeight="1">
      <x:c r="A182" s="32" t="str">
        <x:v>Сауле Бадамбаева</x:v>
      </x:c>
      <x:c r="B182" s="32" t="str">
        <x:v>rootToLive</x:v>
      </x:c>
      <x:c r="C182" s="32" t="str">
        <x:v>live_only</x:v>
      </x:c>
      <x:c r="D182" s="32" t="str">
        <x:v>2026-06-01</x:v>
      </x:c>
      <x:c r="E182" s="32" t="n">
        <x:v>8</x:v>
      </x:c>
      <x:c r="F182" s="32" t="str">
        <x:v>АО «Шығыс Жылу» Аудит ФО за 2025 год</x:v>
      </x:c>
      <x:c r="G182" s="32" t="str">
        <x:v>ОТЧЕТ ПО ПОВТОРНУЮ ПРОВЕРКУ</x:v>
      </x:c>
      <x:c r="H182" s="32" t="str">
        <x:v>live batch v3</x:v>
      </x:c>
      <x:c r="I182" s="32" t="n">
        <x:v>28</x:v>
      </x:c>
      <x:c r="J182" s="32" t="str">
        <x:v>submitted</x:v>
      </x:c>
    </x:row>
    <x:row r="183" ht="42" customHeight="1">
      <x:c r="A183" s="32" t="str">
        <x:v>Сауле Бадамбаева</x:v>
      </x:c>
      <x:c r="B183" s="32" t="str">
        <x:v>rootToLive</x:v>
      </x:c>
      <x:c r="C183" s="32" t="str">
        <x:v>live_only</x:v>
      </x:c>
      <x:c r="D183" s="32" t="str">
        <x:v>2026-06-01</x:v>
      </x:c>
      <x:c r="E183" s="32" t="n">
        <x:v>8</x:v>
      </x:c>
      <x:c r="F183" s="32" t="str">
        <x:v>Административная работа</x:v>
      </x:c>
      <x:c r="G183" s="32" t="str">
        <x:v>FINBOX 2025</x:v>
      </x:c>
      <x:c r="H183" s="32" t="str">
        <x:v>live batch v3</x:v>
      </x:c>
      <x:c r="I183" s="32" t="n">
        <x:v>29</x:v>
      </x:c>
      <x:c r="J183" s="32" t="str">
        <x:v>submitted</x:v>
      </x:c>
    </x:row>
    <x:row r="184" ht="42" customHeight="1">
      <x:c r="A184" s="32" t="str">
        <x:v>Сауле Бадамбаева</x:v>
      </x:c>
      <x:c r="B184" s="32" t="str">
        <x:v>rootToLive</x:v>
      </x:c>
      <x:c r="C184" s="32" t="str">
        <x:v>live_only</x:v>
      </x:c>
      <x:c r="D184" s="32" t="str">
        <x:v>2026-06-02</x:v>
      </x:c>
      <x:c r="E184" s="32" t="n">
        <x:v>8</x:v>
      </x:c>
      <x:c r="F184" s="32" t="str">
        <x:v>Административная работа</x:v>
      </x:c>
      <x:c r="G184" s="32" t="str">
        <x:v>ДАННЫЕ УЧЕТА 1С</x:v>
      </x:c>
      <x:c r="H184" s="32" t="str">
        <x:v>live batch v3</x:v>
      </x:c>
      <x:c r="I184" s="32" t="n">
        <x:v>30</x:v>
      </x:c>
      <x:c r="J184" s="32" t="str">
        <x:v>submitted</x:v>
      </x:c>
    </x:row>
    <x:row r="185" ht="42" customHeight="1">
      <x:c r="A185" s="32" t="str">
        <x:v>Сауле Бадамбаева</x:v>
      </x:c>
      <x:c r="B185" s="32" t="str">
        <x:v>rootToLive</x:v>
      </x:c>
      <x:c r="C185" s="32" t="str">
        <x:v>live_only</x:v>
      </x:c>
      <x:c r="D185" s="32" t="str">
        <x:v>2026-06-02</x:v>
      </x:c>
      <x:c r="E185" s="32" t="n">
        <x:v>8</x:v>
      </x:c>
      <x:c r="F185" s="32" t="str">
        <x:v>Административная работа</x:v>
      </x:c>
      <x:c r="G185" s="32" t="str">
        <x:v>СПК АКТОБЕ ВОПРОСЫ ПО АУДИТУ2025</x:v>
      </x:c>
      <x:c r="H185" s="32" t="str">
        <x:v>live batch v3</x:v>
      </x:c>
      <x:c r="I185" s="32" t="n">
        <x:v>31</x:v>
      </x:c>
      <x:c r="J185" s="32" t="str">
        <x:v>submitted</x:v>
      </x:c>
    </x:row>
    <x:row r="186" ht="42" customHeight="1">
      <x:c r="A186" s="32" t="str">
        <x:v>Сауле Бадамбаева</x:v>
      </x:c>
      <x:c r="B186" s="32" t="str">
        <x:v>rootToLive</x:v>
      </x:c>
      <x:c r="C186" s="32" t="str">
        <x:v>live_only</x:v>
      </x:c>
      <x:c r="D186" s="32" t="str">
        <x:v>2026-05-21</x:v>
      </x:c>
      <x:c r="E186" s="32" t="n">
        <x:v>8</x:v>
      </x:c>
      <x:c r="F186" s="32" t="str">
        <x:v>ТОО Мыс дала Аудит ФО за 2025 год: выпуск аудиторского заключения</x:v>
      </x:c>
      <x:c r="G186" s="32" t="str">
        <x:v>ОТЧЕТ 2025</x:v>
      </x:c>
      <x:c r="H186" s="32" t="str">
        <x:v>live batch v3</x:v>
      </x:c>
      <x:c r="I186" s="32" t="n">
        <x:v>169</x:v>
      </x:c>
      <x:c r="J186" s="32" t="str">
        <x:v>approved</x:v>
      </x:c>
    </x:row>
    <x:row r="187" ht="42" customHeight="1">
      <x:c r="A187" s="32" t="str">
        <x:v>Сауле Бадамбаева</x:v>
      </x:c>
      <x:c r="B187" s="32" t="str">
        <x:v>rootToLive</x:v>
      </x:c>
      <x:c r="C187" s="32" t="str">
        <x:v>live_only</x:v>
      </x:c>
      <x:c r="D187" s="32" t="str">
        <x:v>2026-05-21</x:v>
      </x:c>
      <x:c r="E187" s="32" t="n">
        <x:v>8</x:v>
      </x:c>
      <x:c r="F187" s="32" t="str">
        <x:v>Административная работа</x:v>
      </x:c>
      <x:c r="G187" s="32" t="str">
        <x:v>КАЗАХСТАН АСЕЛСАН ИНЖИНИРИНГ Отчет 2025</x:v>
      </x:c>
      <x:c r="H187" s="32" t="str">
        <x:v>live batch v3</x:v>
      </x:c>
      <x:c r="I187" s="32" t="n">
        <x:v>170</x:v>
      </x:c>
      <x:c r="J187" s="32" t="str">
        <x:v>approved</x:v>
      </x:c>
    </x:row>
    <x:row r="188" ht="42" customHeight="1">
      <x:c r="A188" s="32" t="str">
        <x:v>Сауле Бадамбаева</x:v>
      </x:c>
      <x:c r="B188" s="32" t="str">
        <x:v>rootToLive</x:v>
      </x:c>
      <x:c r="C188" s="32" t="str">
        <x:v>live_only</x:v>
      </x:c>
      <x:c r="D188" s="32" t="str">
        <x:v>2026-05-22</x:v>
      </x:c>
      <x:c r="E188" s="32" t="n">
        <x:v>8</x:v>
      </x:c>
      <x:c r="F188" s="32" t="str">
        <x:v>АО Шымкент Мұнай Өнімдері (за период 2024-2026) Аудит ФО за 2025 год: выпуск отчета</x:v>
      </x:c>
      <x:c r="G188" s="32" t="str">
        <x:v>ОТЧЕТ 2025</x:v>
      </x:c>
      <x:c r="H188" s="32" t="str">
        <x:v>live batch v3</x:v>
      </x:c>
      <x:c r="I188" s="32" t="n">
        <x:v>171</x:v>
      </x:c>
      <x:c r="J188" s="32" t="str">
        <x:v>approved</x:v>
      </x:c>
    </x:row>
    <x:row r="189" ht="42" customHeight="1">
      <x:c r="A189" s="32" t="str">
        <x:v>Сауле Бадамбаева</x:v>
      </x:c>
      <x:c r="B189" s="32" t="str">
        <x:v>rootToLive</x:v>
      </x:c>
      <x:c r="C189" s="32" t="str">
        <x:v>live_only</x:v>
      </x:c>
      <x:c r="D189" s="32" t="str">
        <x:v>2026-05-22</x:v>
      </x:c>
      <x:c r="E189" s="32" t="n">
        <x:v>8</x:v>
      </x:c>
      <x:c r="F189" s="32" t="str">
        <x:v>Административная работа</x:v>
      </x:c>
      <x:c r="G189" s="32" t="str">
        <x:v>FINQ ОТЧЕТ 2025</x:v>
      </x:c>
      <x:c r="H189" s="32" t="str">
        <x:v>live batch v3</x:v>
      </x:c>
      <x:c r="I189" s="32" t="n">
        <x:v>172</x:v>
      </x:c>
      <x:c r="J189" s="32" t="str">
        <x:v>approved</x:v>
      </x:c>
    </x:row>
    <x:row r="190" ht="42" customHeight="1">
      <x:c r="A190" s="32" t="str">
        <x:v>Сауле Бадамбаева</x:v>
      </x:c>
      <x:c r="B190" s="32" t="str">
        <x:v>rootToLive</x:v>
      </x:c>
      <x:c r="C190" s="32" t="str">
        <x:v>live_only</x:v>
      </x:c>
      <x:c r="D190" s="32" t="str">
        <x:v>2026-05-22</x:v>
      </x:c>
      <x:c r="E190" s="32" t="n">
        <x:v>8</x:v>
      </x:c>
      <x:c r="F190" s="32" t="str">
        <x:v>ТОО «TSK Exploration and Mining» (ТСК Эксплорэйшн энд Майнинг) Аудит ФО за 2025 год: выпуск аудиторского заключения</x:v>
      </x:c>
      <x:c r="G190" s="32" t="str">
        <x:v>ОТЧЕТ 2025</x:v>
      </x:c>
      <x:c r="H190" s="32" t="str">
        <x:v>live batch v3</x:v>
      </x:c>
      <x:c r="I190" s="32" t="n">
        <x:v>173</x:v>
      </x:c>
      <x:c r="J190" s="32" t="str">
        <x:v>approved</x:v>
      </x:c>
    </x:row>
    <x:row r="191" ht="42" customHeight="1">
      <x:c r="A191" s="32" t="str">
        <x:v>Сауле Бадамбаева</x:v>
      </x:c>
      <x:c r="B191" s="32" t="str">
        <x:v>rootToLive</x:v>
      </x:c>
      <x:c r="C191" s="32" t="str">
        <x:v>live_only</x:v>
      </x:c>
      <x:c r="D191" s="32" t="str">
        <x:v>2026-05-22</x:v>
      </x:c>
      <x:c r="E191" s="32" t="n">
        <x:v>8</x:v>
      </x:c>
      <x:c r="F191" s="32" t="str">
        <x:v>Административная работа</x:v>
      </x:c>
      <x:c r="G191" s="32" t="str">
        <x:v>КАЗАХСТАН АСЕЛСАН ИНЖИНИРИНГ Отчет 2025</x:v>
      </x:c>
      <x:c r="H191" s="32" t="str">
        <x:v>live batch v3</x:v>
      </x:c>
      <x:c r="I191" s="32" t="n">
        <x:v>174</x:v>
      </x:c>
      <x:c r="J191" s="32" t="str">
        <x:v>approved</x:v>
      </x:c>
    </x:row>
    <x:row r="192" ht="42" customHeight="1">
      <x:c r="A192" s="32" t="str">
        <x:v>Сауле Бадамбаева</x:v>
      </x:c>
      <x:c r="B192" s="32" t="str">
        <x:v>rootToLive</x:v>
      </x:c>
      <x:c r="C192" s="32" t="str">
        <x:v>live_only</x:v>
      </x:c>
      <x:c r="D192" s="32" t="str">
        <x:v>2026-05-25</x:v>
      </x:c>
      <x:c r="E192" s="32" t="n">
        <x:v>8</x:v>
      </x:c>
      <x:c r="F192" s="32" t="str">
        <x:v>Административная работа</x:v>
      </x:c>
      <x:c r="G192" s="32" t="str">
        <x:v>FINQ ОТЧЕТ 2025</x:v>
      </x:c>
      <x:c r="H192" s="32" t="str">
        <x:v>live batch v3</x:v>
      </x:c>
      <x:c r="I192" s="32" t="n">
        <x:v>175</x:v>
      </x:c>
      <x:c r="J192" s="32" t="str">
        <x:v>approved</x:v>
      </x:c>
    </x:row>
    <x:row r="193" ht="42" customHeight="1">
      <x:c r="A193" s="32" t="str">
        <x:v>Сауле Бадамбаева</x:v>
      </x:c>
      <x:c r="B193" s="32" t="str">
        <x:v>rootToLive</x:v>
      </x:c>
      <x:c r="C193" s="32" t="str">
        <x:v>live_only</x:v>
      </x:c>
      <x:c r="D193" s="32" t="str">
        <x:v>2026-05-25</x:v>
      </x:c>
      <x:c r="E193" s="32" t="n">
        <x:v>8</x:v>
      </x:c>
      <x:c r="F193" s="32" t="str">
        <x:v>АО «Шығыс Жылу» Аудит ФО за 2025 год</x:v>
      </x:c>
      <x:c r="G193" s="32" t="str">
        <x:v>ОТЧЕТ 2025</x:v>
      </x:c>
      <x:c r="H193" s="32" t="str">
        <x:v>live batch v3</x:v>
      </x:c>
      <x:c r="I193" s="32" t="n">
        <x:v>176</x:v>
      </x:c>
      <x:c r="J193" s="32" t="str">
        <x:v>approved</x:v>
      </x:c>
    </x:row>
    <x:row r="194" ht="42" customHeight="1">
      <x:c r="A194" s="32" t="str">
        <x:v>Сауле Бадамбаева</x:v>
      </x:c>
      <x:c r="B194" s="32" t="str">
        <x:v>rootToLive</x:v>
      </x:c>
      <x:c r="C194" s="32" t="str">
        <x:v>live_only</x:v>
      </x:c>
      <x:c r="D194" s="32" t="str">
        <x:v>2026-05-26</x:v>
      </x:c>
      <x:c r="E194" s="32" t="n">
        <x:v>8</x:v>
      </x:c>
      <x:c r="F194" s="32" t="str">
        <x:v>ТОО «TSK Exploration and Mining» (ТСК Эксплорэйшн энд Майнинг) Аудит ФО за 2024 год: выпуск ФО</x:v>
      </x:c>
      <x:c r="G194" s="32" t="str">
        <x:v>ОТЧЕТ 2025</x:v>
      </x:c>
      <x:c r="H194" s="32" t="str">
        <x:v>live batch v3</x:v>
      </x:c>
      <x:c r="I194" s="32" t="n">
        <x:v>177</x:v>
      </x:c>
      <x:c r="J194" s="32" t="str">
        <x:v>approved</x:v>
      </x:c>
    </x:row>
    <x:row r="195" ht="42" customHeight="1">
      <x:c r="A195" s="32" t="str">
        <x:v>Сауле Бадамбаева</x:v>
      </x:c>
      <x:c r="B195" s="32" t="str">
        <x:v>rootToLive</x:v>
      </x:c>
      <x:c r="C195" s="32" t="str">
        <x:v>live_only</x:v>
      </x:c>
      <x:c r="D195" s="32" t="str">
        <x:v>2026-05-26</x:v>
      </x:c>
      <x:c r="E195" s="32" t="n">
        <x:v>8</x:v>
      </x:c>
      <x:c r="F195" s="32" t="str">
        <x:v>Административная работа</x:v>
      </x:c>
      <x:c r="G195" s="32" t="str">
        <x:v>Изменения в НК 2026</x:v>
      </x:c>
      <x:c r="H195" s="32" t="str">
        <x:v>live batch v3</x:v>
      </x:c>
      <x:c r="I195" s="32" t="n">
        <x:v>178</x:v>
      </x:c>
      <x:c r="J195" s="32" t="str">
        <x:v>approved</x:v>
      </x:c>
    </x:row>
    <x:row r="196" ht="42" customHeight="1">
      <x:c r="A196" s="32" t="str">
        <x:v>Сауле Бадамбаева</x:v>
      </x:c>
      <x:c r="B196" s="32" t="str">
        <x:v>rootToLive</x:v>
      </x:c>
      <x:c r="C196" s="32" t="str">
        <x:v>live_only</x:v>
      </x:c>
      <x:c r="D196" s="32" t="str">
        <x:v>2026-05-26</x:v>
      </x:c>
      <x:c r="E196" s="32" t="n">
        <x:v>8</x:v>
      </x:c>
      <x:c r="F196" s="32" t="str">
        <x:v>Административная работа</x:v>
      </x:c>
      <x:c r="G196" s="32" t="str">
        <x:v>КАЗАХСТАН АСЕЛСАН ИНЖИНИРИНГ Отчет 2025 ДОРАБОТКА ПОСЛЕ КОММЕНТАРИЕВ</x:v>
      </x:c>
      <x:c r="H196" s="32" t="str">
        <x:v>live batch v3</x:v>
      </x:c>
      <x:c r="I196" s="32" t="n">
        <x:v>179</x:v>
      </x:c>
      <x:c r="J196" s="32" t="str">
        <x:v>approved</x:v>
      </x:c>
    </x:row>
    <x:row r="197" ht="42" customHeight="1">
      <x:c r="A197" s="32" t="str">
        <x:v>Сауле Бадамбаева</x:v>
      </x:c>
      <x:c r="B197" s="32" t="str">
        <x:v>rootToLive</x:v>
      </x:c>
      <x:c r="C197" s="32" t="str">
        <x:v>live_only</x:v>
      </x:c>
      <x:c r="D197" s="32" t="str">
        <x:v>2026-05-27</x:v>
      </x:c>
      <x:c r="E197" s="32" t="n">
        <x:v>8</x:v>
      </x:c>
      <x:c r="F197" s="32" t="str">
        <x:v>Административная работа</x:v>
      </x:c>
      <x:c r="G197" s="32" t="str">
        <x:v>КАЗАХСТАН АСЕЛСАН ИНЖИНИРИНГ Отчет 2025 ДОРАБОТКА ПОСЛЕ КОММЕНТАРИЕВ</x:v>
      </x:c>
      <x:c r="H197" s="32" t="str">
        <x:v>live batch v3</x:v>
      </x:c>
      <x:c r="I197" s="32" t="n">
        <x:v>180</x:v>
      </x:c>
      <x:c r="J197" s="32" t="str">
        <x:v>approved</x:v>
      </x:c>
    </x:row>
    <x:row r="198" ht="42" customHeight="1">
      <x:c r="A198" s="32" t="str">
        <x:v>Сауле Бадамбаева</x:v>
      </x:c>
      <x:c r="B198" s="32" t="str">
        <x:v>rootToLive</x:v>
      </x:c>
      <x:c r="C198" s="32" t="str">
        <x:v>live_only</x:v>
      </x:c>
      <x:c r="D198" s="32" t="str">
        <x:v>2026-05-27</x:v>
      </x:c>
      <x:c r="E198" s="32" t="n">
        <x:v>8</x:v>
      </x:c>
      <x:c r="F198" s="32" t="str">
        <x:v>ТОО «TSK Exploration and Mining» (ТСК Эксплорэйшн энд Майнинг) Аудит ФО за 2025 год: выпуск аудиторского заключения</x:v>
      </x:c>
      <x:c r="G198" s="32" t="str">
        <x:v>ИЗМЕНЕНИЯ ПО ОТЧЕТУ 2025</x:v>
      </x:c>
      <x:c r="H198" s="32" t="str">
        <x:v>live batch v3</x:v>
      </x:c>
      <x:c r="I198" s="32" t="n">
        <x:v>181</x:v>
      </x:c>
      <x:c r="J198" s="32" t="str">
        <x:v>approved</x:v>
      </x:c>
    </x:row>
    <x:row r="199" ht="42" customHeight="1">
      <x:c r="A199" s="32" t="str">
        <x:v>Сауле Бадамбаева</x:v>
      </x:c>
      <x:c r="B199" s="32" t="str">
        <x:v>rootToLive</x:v>
      </x:c>
      <x:c r="C199" s="32" t="str">
        <x:v>live_only</x:v>
      </x:c>
      <x:c r="D199" s="32" t="str">
        <x:v>2026-05-28</x:v>
      </x:c>
      <x:c r="E199" s="32" t="n">
        <x:v>8</x:v>
      </x:c>
      <x:c r="F199" s="32" t="str">
        <x:v>Административная работа</x:v>
      </x:c>
      <x:c r="G199" s="32" t="str">
        <x:v>ОБСУЖДЕНИЕ С РУК.ПО ПРОГРАММАМ АУДИТА</x:v>
      </x:c>
      <x:c r="H199" s="32" t="str">
        <x:v>live batch v3</x:v>
      </x:c>
      <x:c r="I199" s="32" t="n">
        <x:v>182</x:v>
      </x:c>
      <x:c r="J199" s="32" t="str">
        <x:v>approved</x:v>
      </x:c>
    </x:row>
    <x:row r="200" ht="42" customHeight="1">
      <x:c r="A200" s="32" t="str">
        <x:v>Сауле Бадамбаева</x:v>
      </x:c>
      <x:c r="B200" s="32" t="str">
        <x:v>rootToLive</x:v>
      </x:c>
      <x:c r="C200" s="32" t="str">
        <x:v>live_only</x:v>
      </x:c>
      <x:c r="D200" s="32" t="str">
        <x:v>2026-05-28</x:v>
      </x:c>
      <x:c r="E200" s="32" t="n">
        <x:v>8</x:v>
      </x:c>
      <x:c r="F200" s="32" t="str">
        <x:v>Административная работа</x:v>
      </x:c>
      <x:c r="G200" s="32" t="str">
        <x:v>ОТЧЕТЫ САУРАН, ОБСУЖДЕНИЕ С ГБ</x:v>
      </x:c>
      <x:c r="H200" s="32" t="str">
        <x:v>live batch v3</x:v>
      </x:c>
      <x:c r="I200" s="32" t="n">
        <x:v>183</x:v>
      </x:c>
      <x:c r="J200" s="32" t="str">
        <x:v>approved</x:v>
      </x:c>
    </x:row>
    <x:row r="201" ht="42" customHeight="1">
      <x:c r="A201" s="32" t="str">
        <x:v>Сауле Бадамбаева</x:v>
      </x:c>
      <x:c r="B201" s="32" t="str">
        <x:v>rootToLive</x:v>
      </x:c>
      <x:c r="C201" s="32" t="str">
        <x:v>live_only</x:v>
      </x:c>
      <x:c r="D201" s="32" t="str">
        <x:v>2026-05-28</x:v>
      </x:c>
      <x:c r="E201" s="32" t="n">
        <x:v>8</x:v>
      </x:c>
      <x:c r="F201" s="32" t="str">
        <x:v>Административная работа</x:v>
      </x:c>
      <x:c r="G201" s="32" t="str">
        <x:v>СПК САРЫ  АРКА ДАННЫЕ УЧЕТА ПО 1С</x:v>
      </x:c>
      <x:c r="H201" s="32" t="str">
        <x:v>live batch v3</x:v>
      </x:c>
      <x:c r="I201" s="32" t="n">
        <x:v>184</x:v>
      </x:c>
      <x:c r="J201" s="32" t="str">
        <x:v>approved</x:v>
      </x:c>
    </x:row>
    <x:row r="202" ht="42" customHeight="1">
      <x:c r="A202" s="32" t="str">
        <x:v>Сауле Бадамбаева</x:v>
      </x:c>
      <x:c r="B202" s="32" t="str">
        <x:v>rootToLive</x:v>
      </x:c>
      <x:c r="C202" s="32" t="str">
        <x:v>live_only</x:v>
      </x:c>
      <x:c r="D202" s="32" t="str">
        <x:v>2026-05-29</x:v>
      </x:c>
      <x:c r="E202" s="32" t="n">
        <x:v>8</x:v>
      </x:c>
      <x:c r="F202" s="32" t="str">
        <x:v>Административная работа</x:v>
      </x:c>
      <x:c r="G202" s="32" t="str">
        <x:v>СПК САРЫ  АРКА ДАННЫЕ УЧЕТА ПО 1С</x:v>
      </x:c>
      <x:c r="H202" s="32" t="str">
        <x:v>live batch v3</x:v>
      </x:c>
      <x:c r="I202" s="32" t="n">
        <x:v>185</x:v>
      </x:c>
      <x:c r="J202" s="32" t="str">
        <x:v>approved</x:v>
      </x:c>
    </x:row>
    <x:row r="203" ht="42" customHeight="1">
      <x:c r="A203" s="32" t="str">
        <x:v>Сауле Бадамбаева</x:v>
      </x:c>
      <x:c r="B203" s="32" t="str">
        <x:v>rootToLive</x:v>
      </x:c>
      <x:c r="C203" s="32" t="str">
        <x:v>live_only</x:v>
      </x:c>
      <x:c r="D203" s="32" t="str">
        <x:v>2026-05-29</x:v>
      </x:c>
      <x:c r="E203" s="32" t="n">
        <x:v>8</x:v>
      </x:c>
      <x:c r="F203" s="32" t="str">
        <x:v>Административная работа</x:v>
      </x:c>
      <x:c r="G203" s="32" t="str">
        <x:v>СПК АКТОБЕ ВОПРОСЫ ПО АУДИТУ2025</x:v>
      </x:c>
      <x:c r="H203" s="32" t="str">
        <x:v>live batch v3</x:v>
      </x:c>
      <x:c r="I203" s="32" t="n">
        <x:v>186</x:v>
      </x:c>
      <x:c r="J203" s="32" t="str">
        <x:v>approved</x:v>
      </x:c>
    </x:row>
    <x:row r="204" ht="42" customHeight="1">
      <x:c r="A204" s="32" t="str">
        <x:v>Сауле Бадамбаева</x:v>
      </x:c>
      <x:c r="B204" s="32" t="str">
        <x:v>rootToLive</x:v>
      </x:c>
      <x:c r="C204" s="32" t="str">
        <x:v>live_only</x:v>
      </x:c>
      <x:c r="D204" s="32" t="str">
        <x:v>2026-05-29</x:v>
      </x:c>
      <x:c r="E204" s="32" t="n">
        <x:v>8</x:v>
      </x:c>
      <x:c r="F204" s="32" t="str">
        <x:v>Административная работа</x:v>
      </x:c>
      <x:c r="G204" s="32" t="str">
        <x:v>ОТЧЕТЫ САУРАН, ОБСУЖДЕНИЕ С ГБ</x:v>
      </x:c>
      <x:c r="H204" s="32" t="str">
        <x:v>live batch v3</x:v>
      </x:c>
      <x:c r="I204" s="32" t="n">
        <x:v>187</x:v>
      </x:c>
      <x:c r="J204" s="32" t="str">
        <x:v>approved</x:v>
      </x:c>
    </x:row>
    <x:row r="205" ht="42" customHeight="1">
      <x:c r="A205" s="32" t="str">
        <x:v>Сауле Бадамбаева</x:v>
      </x:c>
      <x:c r="B205" s="32" t="str">
        <x:v>rootToLive</x:v>
      </x:c>
      <x:c r="C205" s="32" t="str">
        <x:v>live_only</x:v>
      </x:c>
      <x:c r="D205" s="32" t="str">
        <x:v>2025-03-13</x:v>
      </x:c>
      <x:c r="E205" s="32" t="n">
        <x:v>2</x:v>
      </x:c>
      <x:c r="F205" s="32" t="str">
        <x:v>Административная работа</x:v>
      </x:c>
      <x:c r="G205" s="32" t="str">
        <x:v>отпросилась</x:v>
      </x:c>
      <x:c r="H205" s="32" t="str">
        <x:v>live batch v3</x:v>
      </x:c>
      <x:c r="I205" s="32" t="n">
        <x:v>249</x:v>
      </x:c>
      <x:c r="J205" s="32" t="str">
        <x:v>approved</x:v>
      </x:c>
    </x:row>
    <x:row r="206" ht="42" customHeight="1">
      <x:c r="A206" s="32" t="str">
        <x:v>Сауле Бадамбаева</x:v>
      </x:c>
      <x:c r="B206" s="32" t="str">
        <x:v>rootToLive</x:v>
      </x:c>
      <x:c r="C206" s="32" t="str">
        <x:v>live_only</x:v>
      </x:c>
      <x:c r="D206" s="32" t="str">
        <x:v>2024-12-30</x:v>
      </x:c>
      <x:c r="E206" s="32" t="n">
        <x:v>8</x:v>
      </x:c>
      <x:c r="F206" s="32" t="str">
        <x:v>Административная работа</x:v>
      </x:c>
      <x:c r="G206" s="32" t="str"/>
      <x:c r="H206" s="32" t="str">
        <x:v>live batch v3</x:v>
      </x:c>
      <x:c r="I206" s="32" t="n">
        <x:v>269</x:v>
      </x:c>
      <x:c r="J206" s="32" t="str">
        <x:v>approved</x:v>
      </x:c>
    </x:row>
    <x:row r="207" ht="42" customHeight="1">
      <x:c r="A207" s="32" t="str">
        <x:v>Сауле Бадамбаева</x:v>
      </x:c>
      <x:c r="B207" s="32" t="str">
        <x:v>rootToLive</x:v>
      </x:c>
      <x:c r="C207" s="32" t="str">
        <x:v>live_only</x:v>
      </x:c>
      <x:c r="D207" s="32" t="str">
        <x:v>2025-02-27</x:v>
      </x:c>
      <x:c r="E207" s="32" t="n">
        <x:v>4</x:v>
      </x:c>
      <x:c r="F207" s="32" t="str">
        <x:v>Административная работа</x:v>
      </x:c>
      <x:c r="G207" s="32" t="str"/>
      <x:c r="H207" s="32" t="str">
        <x:v>live batch v3</x:v>
      </x:c>
      <x:c r="I207" s="32" t="n">
        <x:v>303</x:v>
      </x:c>
      <x:c r="J207" s="32" t="str">
        <x:v>approved</x:v>
      </x:c>
    </x:row>
    <x:row r="208" ht="42" customHeight="1">
      <x:c r="A208" s="32" t="str">
        <x:v>Сауле Бадамбаева</x:v>
      </x:c>
      <x:c r="B208" s="32" t="str">
        <x:v>rootToLive</x:v>
      </x:c>
      <x:c r="C208" s="32" t="str">
        <x:v>live_only</x:v>
      </x:c>
      <x:c r="D208" s="32" t="str">
        <x:v>2025-04-30</x:v>
      </x:c>
      <x:c r="E208" s="32" t="n">
        <x:v>8</x:v>
      </x:c>
      <x:c r="F208" s="32" t="str">
        <x:v>Административная работа</x:v>
      </x:c>
      <x:c r="G208" s="32" t="str">
        <x:v>встреча с клиентом</x:v>
      </x:c>
      <x:c r="H208" s="32" t="str">
        <x:v>live batch v3</x:v>
      </x:c>
      <x:c r="I208" s="32" t="n">
        <x:v>346</x:v>
      </x:c>
      <x:c r="J208" s="32" t="str">
        <x:v>approved</x:v>
      </x:c>
    </x:row>
    <x:row r="209" ht="42" customHeight="1">
      <x:c r="A209" s="32" t="str">
        <x:v>Сауле Бадамбаева</x:v>
      </x:c>
      <x:c r="B209" s="32" t="str">
        <x:v>rootToLive</x:v>
      </x:c>
      <x:c r="C209" s="32" t="str">
        <x:v>live_only</x:v>
      </x:c>
      <x:c r="D209" s="32" t="str">
        <x:v>2025-09-15</x:v>
      </x:c>
      <x:c r="E209" s="32" t="n">
        <x:v>8</x:v>
      </x:c>
      <x:c r="F209" s="32" t="str">
        <x:v>Административная работа</x:v>
      </x:c>
      <x:c r="G209" s="32" t="str">
        <x:v>Обзор обучающих семинаров.</x:v>
      </x:c>
      <x:c r="H209" s="32" t="str">
        <x:v>live batch v3</x:v>
      </x:c>
      <x:c r="I209" s="32" t="n">
        <x:v>410</x:v>
      </x:c>
      <x:c r="J209" s="32" t="str">
        <x:v>approved</x:v>
      </x:c>
    </x:row>
    <x:row r="210" ht="42" customHeight="1">
      <x:c r="A210" s="32" t="str">
        <x:v>Сауле Бадамбаева</x:v>
      </x:c>
      <x:c r="B210" s="32" t="str">
        <x:v>rootToLive</x:v>
      </x:c>
      <x:c r="C210" s="32" t="str">
        <x:v>live_only</x:v>
      </x:c>
      <x:c r="D210" s="32" t="str">
        <x:v>2025-09-16</x:v>
      </x:c>
      <x:c r="E210" s="32" t="n">
        <x:v>8</x:v>
      </x:c>
      <x:c r="F210" s="32" t="str">
        <x:v>Административная работа</x:v>
      </x:c>
      <x:c r="G210" s="32" t="str">
        <x:v>Обзор нового проекта Транко. Обучающие семинары</x:v>
      </x:c>
      <x:c r="H210" s="32" t="str">
        <x:v>live batch v3</x:v>
      </x:c>
      <x:c r="I210" s="32" t="n">
        <x:v>459</x:v>
      </x:c>
      <x:c r="J210" s="32" t="str">
        <x:v>approved</x:v>
      </x:c>
    </x:row>
    <x:row r="211" ht="42" customHeight="1">
      <x:c r="A211" s="32" t="str">
        <x:v>Сауле Бадамбаева</x:v>
      </x:c>
      <x:c r="B211" s="32" t="str">
        <x:v>rawToLive</x:v>
      </x:c>
      <x:c r="C211" s="32" t="str">
        <x:v>source_only</x:v>
      </x:c>
      <x:c r="D211" s="32" t="str">
        <x:v>2024-11-14</x:v>
      </x:c>
      <x:c r="E211" s="32" t="n">
        <x:v>8</x:v>
      </x:c>
      <x:c r="F211" s="32" t="str">
        <x:v>---------Отсутствие по уважительной причине(Отпуск, больничный, и.т.д)------------</x:v>
      </x:c>
      <x:c r="G211" s="32" t="str">
        <x:v>Подготовка к собеседованию в Нац.Комиссию (гос.аудит). Собеседование назначено на 29.11.2024</x:v>
      </x:c>
      <x:c r="H211" s="32" t="str">
        <x:v>Time Sheet</x:v>
      </x:c>
      <x:c r="I211" s="32" t="n">
        <x:v>22</x:v>
      </x:c>
      <x:c r="J211" s="32" t="str"/>
    </x:row>
    <x:row r="212" ht="42" customHeight="1">
      <x:c r="A212" s="32" t="str">
        <x:v>Сауле Бадамбаева</x:v>
      </x:c>
      <x:c r="B212" s="32" t="str">
        <x:v>rawToLive</x:v>
      </x:c>
      <x:c r="C212" s="32" t="str">
        <x:v>source_only</x:v>
      </x:c>
      <x:c r="D212" s="32" t="str">
        <x:v>2024-11-15</x:v>
      </x:c>
      <x:c r="E212" s="32" t="n">
        <x:v>8</x:v>
      </x:c>
      <x:c r="F212" s="32" t="str">
        <x:v>---------Отсутствие по уважительной причине(Отпуск, больничный, и.т.д)------------</x:v>
      </x:c>
      <x:c r="G212" s="32" t="str">
        <x:v>Подготовка к собеседованию в Нац.Комиссию (гос.аудит). Собеседование назначено на 29.11.2024</x:v>
      </x:c>
      <x:c r="H212" s="32" t="str">
        <x:v>Time Sheet</x:v>
      </x:c>
      <x:c r="I212" s="32" t="n">
        <x:v>23</x:v>
      </x:c>
      <x:c r="J212" s="32" t="str"/>
    </x:row>
    <x:row r="213" ht="42" customHeight="1">
      <x:c r="A213" s="32" t="str">
        <x:v>Сауле Бадамбаева</x:v>
      </x:c>
      <x:c r="B213" s="32" t="str">
        <x:v>rawToLive</x:v>
      </x:c>
      <x:c r="C213" s="32" t="str">
        <x:v>source_only</x:v>
      </x:c>
      <x:c r="D213" s="32" t="str">
        <x:v>2024-11-18</x:v>
      </x:c>
      <x:c r="E213" s="32" t="n">
        <x:v>8</x:v>
      </x:c>
      <x:c r="F213" s="32" t="str">
        <x:v>---------Отсутствие по уважительной причине(Отпуск, больничный, и.т.д)------------</x:v>
      </x:c>
      <x:c r="G213" s="32" t="str">
        <x:v>Ежегодный оплачиваемый отпуск с 18.11.24 по 27.11.24</x:v>
      </x:c>
      <x:c r="H213" s="32" t="str">
        <x:v>Time Sheet</x:v>
      </x:c>
      <x:c r="I213" s="32" t="n">
        <x:v>24</x:v>
      </x:c>
      <x:c r="J213" s="32" t="str"/>
    </x:row>
    <x:row r="214" ht="42" customHeight="1">
      <x:c r="A214" s="32" t="str">
        <x:v>Сауле Бадамбаева</x:v>
      </x:c>
      <x:c r="B214" s="32" t="str">
        <x:v>rawToLive</x:v>
      </x:c>
      <x:c r="C214" s="32" t="str">
        <x:v>source_only</x:v>
      </x:c>
      <x:c r="D214" s="32" t="str">
        <x:v>2024-11-19</x:v>
      </x:c>
      <x:c r="E214" s="32" t="n">
        <x:v>8</x:v>
      </x:c>
      <x:c r="F214" s="32" t="str">
        <x:v>---------Отсутствие по уважительной причине(Отпуск, больничный, и.т.д)------------</x:v>
      </x:c>
      <x:c r="G214" s="32" t="str">
        <x:v>Ежегодный оплачиваемый отпуск с 18.11.24 по 27.11.24</x:v>
      </x:c>
      <x:c r="H214" s="32" t="str">
        <x:v>Time Sheet</x:v>
      </x:c>
      <x:c r="I214" s="32" t="n">
        <x:v>25</x:v>
      </x:c>
      <x:c r="J214" s="32" t="str"/>
    </x:row>
    <x:row r="215" ht="42" customHeight="1">
      <x:c r="A215" s="32" t="str">
        <x:v>Сауле Бадамбаева</x:v>
      </x:c>
      <x:c r="B215" s="32" t="str">
        <x:v>rawToLive</x:v>
      </x:c>
      <x:c r="C215" s="32" t="str">
        <x:v>source_only</x:v>
      </x:c>
      <x:c r="D215" s="32" t="str">
        <x:v>2024-11-20</x:v>
      </x:c>
      <x:c r="E215" s="32" t="n">
        <x:v>8</x:v>
      </x:c>
      <x:c r="F215" s="32" t="str">
        <x:v>---------Отсутствие по уважительной причине(Отпуск, больничный, и.т.д)------------</x:v>
      </x:c>
      <x:c r="G215" s="32" t="str">
        <x:v>Ежегодный оплачиваемый отпуск с 18.11.24 по 27.11.24</x:v>
      </x:c>
      <x:c r="H215" s="32" t="str">
        <x:v>Time Sheet</x:v>
      </x:c>
      <x:c r="I215" s="32" t="n">
        <x:v>26</x:v>
      </x:c>
      <x:c r="J215" s="32" t="str"/>
    </x:row>
    <x:row r="216" ht="42" customHeight="1">
      <x:c r="A216" s="32" t="str">
        <x:v>Сауле Бадамбаева</x:v>
      </x:c>
      <x:c r="B216" s="32" t="str">
        <x:v>rawToLive</x:v>
      </x:c>
      <x:c r="C216" s="32" t="str">
        <x:v>source_only</x:v>
      </x:c>
      <x:c r="D216" s="32" t="str">
        <x:v>2024-11-21</x:v>
      </x:c>
      <x:c r="E216" s="32" t="n">
        <x:v>8</x:v>
      </x:c>
      <x:c r="F216" s="32" t="str">
        <x:v>---------Отсутствие по уважительной причине(Отпуск, больничный, и.т.д)------------</x:v>
      </x:c>
      <x:c r="G216" s="32" t="str">
        <x:v>Ежегодный оплачиваемый отпуск с 18.11.24 по 27.11.24</x:v>
      </x:c>
      <x:c r="H216" s="32" t="str">
        <x:v>Time Sheet</x:v>
      </x:c>
      <x:c r="I216" s="32" t="n">
        <x:v>27</x:v>
      </x:c>
      <x:c r="J216" s="32" t="str"/>
    </x:row>
    <x:row r="217" ht="42" customHeight="1">
      <x:c r="A217" s="32" t="str">
        <x:v>Сауле Бадамбаева</x:v>
      </x:c>
      <x:c r="B217" s="32" t="str">
        <x:v>rawToLive</x:v>
      </x:c>
      <x:c r="C217" s="32" t="str">
        <x:v>source_only</x:v>
      </x:c>
      <x:c r="D217" s="32" t="str">
        <x:v>2024-11-22</x:v>
      </x:c>
      <x:c r="E217" s="32" t="n">
        <x:v>8</x:v>
      </x:c>
      <x:c r="F217" s="32" t="str">
        <x:v>---------Отсутствие по уважительной причине(Отпуск, больничный, и.т.д)------------</x:v>
      </x:c>
      <x:c r="G217" s="32" t="str">
        <x:v>Ежегодный оплачиваемый отпуск с 18.11.24 по 27.11.24</x:v>
      </x:c>
      <x:c r="H217" s="32" t="str">
        <x:v>Time Sheet</x:v>
      </x:c>
      <x:c r="I217" s="32" t="n">
        <x:v>28</x:v>
      </x:c>
      <x:c r="J217" s="32" t="str"/>
    </x:row>
    <x:row r="218" ht="42" customHeight="1">
      <x:c r="A218" s="32" t="str">
        <x:v>Сауле Бадамбаева</x:v>
      </x:c>
      <x:c r="B218" s="32" t="str">
        <x:v>rawToLive</x:v>
      </x:c>
      <x:c r="C218" s="32" t="str">
        <x:v>source_only</x:v>
      </x:c>
      <x:c r="D218" s="32" t="str">
        <x:v>2024-11-25</x:v>
      </x:c>
      <x:c r="E218" s="32" t="n">
        <x:v>8</x:v>
      </x:c>
      <x:c r="F218" s="32" t="str">
        <x:v>---------Отсутствие по уважительной причине(Отпуск, больничный, и.т.д)------------</x:v>
      </x:c>
      <x:c r="G218" s="32" t="str">
        <x:v>Ежегодный оплачиваемый отпуск с 18.11.24 по 27.11.24</x:v>
      </x:c>
      <x:c r="H218" s="32" t="str">
        <x:v>Time Sheet</x:v>
      </x:c>
      <x:c r="I218" s="32" t="n">
        <x:v>29</x:v>
      </x:c>
      <x:c r="J218" s="32" t="str"/>
    </x:row>
    <x:row r="219" ht="42" customHeight="1">
      <x:c r="A219" s="32" t="str">
        <x:v>Сауле Бадамбаева</x:v>
      </x:c>
      <x:c r="B219" s="32" t="str">
        <x:v>rawToLive</x:v>
      </x:c>
      <x:c r="C219" s="32" t="str">
        <x:v>source_only</x:v>
      </x:c>
      <x:c r="D219" s="32" t="str">
        <x:v>2024-11-26</x:v>
      </x:c>
      <x:c r="E219" s="32" t="n">
        <x:v>8</x:v>
      </x:c>
      <x:c r="F219" s="32" t="str">
        <x:v>---------Отсутствие по уважительной причине(Отпуск, больничный, и.т.д)------------</x:v>
      </x:c>
      <x:c r="G219" s="32" t="str">
        <x:v>Ежегодный оплачиваемый отпуск с 18.11.24 по 27.11.24</x:v>
      </x:c>
      <x:c r="H219" s="32" t="str">
        <x:v>Time Sheet</x:v>
      </x:c>
      <x:c r="I219" s="32" t="n">
        <x:v>30</x:v>
      </x:c>
      <x:c r="J219" s="32" t="str"/>
    </x:row>
    <x:row r="220" ht="42" customHeight="1">
      <x:c r="A220" s="32" t="str">
        <x:v>Сауле Бадамбаева</x:v>
      </x:c>
      <x:c r="B220" s="32" t="str">
        <x:v>rawToLive</x:v>
      </x:c>
      <x:c r="C220" s="32" t="str">
        <x:v>source_only</x:v>
      </x:c>
      <x:c r="D220" s="32" t="str">
        <x:v>2024-11-27</x:v>
      </x:c>
      <x:c r="E220" s="32" t="n">
        <x:v>8</x:v>
      </x:c>
      <x:c r="F220" s="32" t="str">
        <x:v>---------Отсутствие по уважительной причине(Отпуск, больничный, и.т.д)------------</x:v>
      </x:c>
      <x:c r="G220" s="32" t="str">
        <x:v>Ежегодный оплачиваемый отпуск с 18.11.24 по 27.11.24</x:v>
      </x:c>
      <x:c r="H220" s="32" t="str">
        <x:v>Time Sheet</x:v>
      </x:c>
      <x:c r="I220" s="32" t="n">
        <x:v>31</x:v>
      </x:c>
      <x:c r="J220" s="32" t="str"/>
    </x:row>
    <x:row r="221" ht="42" customHeight="1">
      <x:c r="A221" s="32" t="str">
        <x:v>Сауле Бадамбаева</x:v>
      </x:c>
      <x:c r="B221" s="32" t="str">
        <x:v>rawToLive</x:v>
      </x:c>
      <x:c r="C221" s="32" t="str">
        <x:v>source_only</x:v>
      </x:c>
      <x:c r="D221" s="32" t="str">
        <x:v>2024-11-28</x:v>
      </x:c>
      <x:c r="E221" s="32" t="n">
        <x:v>8</x:v>
      </x:c>
      <x:c r="F221" s="32" t="str">
        <x:v>---------Отсутствие по уважительной причине(Отпуск, больничный, и.т.д)------------</x:v>
      </x:c>
      <x:c r="G221" s="32" t="str">
        <x:v>Собрание в Палате аудиторов</x:v>
      </x:c>
      <x:c r="H221" s="32" t="str">
        <x:v>Time Sheet</x:v>
      </x:c>
      <x:c r="I221" s="32" t="n">
        <x:v>32</x:v>
      </x:c>
      <x:c r="J221" s="32" t="str"/>
    </x:row>
    <x:row r="222" ht="42" customHeight="1">
      <x:c r="A222" s="32" t="str">
        <x:v>Сауле Бадамбаева</x:v>
      </x:c>
      <x:c r="B222" s="32" t="str">
        <x:v>rawToLive</x:v>
      </x:c>
      <x:c r="C222" s="32" t="str">
        <x:v>source_only</x:v>
      </x:c>
      <x:c r="D222" s="32" t="str">
        <x:v>2024-11-29</x:v>
      </x:c>
      <x:c r="E222" s="32" t="n">
        <x:v>8</x:v>
      </x:c>
      <x:c r="F222" s="32" t="str">
        <x:v>---------Отсутствие по уважительной причине(Отпуск, больничный, и.т.д)------------</x:v>
      </x:c>
      <x:c r="G222" s="32" t="str">
        <x:v>Выезд в Астану на Нац. Комиссию. Собеседование в 15.00 час.</x:v>
      </x:c>
      <x:c r="H222" s="32" t="str">
        <x:v>Time Sheet</x:v>
      </x:c>
      <x:c r="I222" s="32" t="n">
        <x:v>33</x:v>
      </x:c>
      <x:c r="J222" s="32" t="str"/>
    </x:row>
    <x:row r="223" ht="42" customHeight="1">
      <x:c r="A223" s="32" t="str">
        <x:v>Сауле Бадамбаева</x:v>
      </x:c>
      <x:c r="B223" s="32" t="str">
        <x:v>rawToLive</x:v>
      </x:c>
      <x:c r="C223" s="32" t="str">
        <x:v>source_only</x:v>
      </x:c>
      <x:c r="D223" s="32" t="str">
        <x:v>2024-12-24</x:v>
      </x:c>
      <x:c r="E223" s="32" t="n">
        <x:v>4</x:v>
      </x:c>
      <x:c r="F223" s="32" t="str">
        <x:v>---------Отсутствие по уважительной причине(Отпуск, больничный, и.т.д)------------</x:v>
      </x:c>
      <x:c r="G223" s="32" t="str">
        <x:v>Корпоратив Новый год</x:v>
      </x:c>
      <x:c r="H223" s="32" t="str">
        <x:v>Time Sheet</x:v>
      </x:c>
      <x:c r="I223" s="32" t="n">
        <x:v>63</x:v>
      </x:c>
      <x:c r="J223" s="32" t="str"/>
    </x:row>
    <x:row r="224" ht="42" customHeight="1">
      <x:c r="A224" s="32" t="str">
        <x:v>Сауле Бадамбаева</x:v>
      </x:c>
      <x:c r="B224" s="32" t="str">
        <x:v>rawToLive</x:v>
      </x:c>
      <x:c r="C224" s="32" t="str">
        <x:v>source_only</x:v>
      </x:c>
      <x:c r="D224" s="32" t="str">
        <x:v>2024-12-26</x:v>
      </x:c>
      <x:c r="E224" s="32" t="n">
        <x:v>4</x:v>
      </x:c>
      <x:c r="F224" s="32" t="str">
        <x:v>---------Отсутствие по уважительной причине(Отпуск, больничный, и.т.д)------------</x:v>
      </x:c>
      <x:c r="G224" s="32" t="str">
        <x:v>Поздравление Клиентов с новым годом</x:v>
      </x:c>
      <x:c r="H224" s="32" t="str">
        <x:v>Time Sheet</x:v>
      </x:c>
      <x:c r="I224" s="32" t="n">
        <x:v>65</x:v>
      </x:c>
      <x:c r="J224" s="32" t="str"/>
    </x:row>
    <x:row r="225" ht="42" customHeight="1">
      <x:c r="A225" s="32" t="str">
        <x:v>Сауле Бадамбаева</x:v>
      </x:c>
      <x:c r="B225" s="32" t="str">
        <x:v>rawToLive</x:v>
      </x:c>
      <x:c r="C225" s="32" t="str">
        <x:v>source_only</x:v>
      </x:c>
      <x:c r="D225" s="32" t="str">
        <x:v>2024-12-27</x:v>
      </x:c>
      <x:c r="E225" s="32" t="n">
        <x:v>4</x:v>
      </x:c>
      <x:c r="F225" s="32" t="str">
        <x:v>---------Отсутствие по уважительной причине(Отпуск, больничный, и.т.д)------------</x:v>
      </x:c>
      <x:c r="G225" s="32" t="str">
        <x:v>Поздравление Клиентов с новым годом</x:v>
      </x:c>
      <x:c r="H225" s="32" t="str">
        <x:v>Time Sheet</x:v>
      </x:c>
      <x:c r="I225" s="32" t="n">
        <x:v>67</x:v>
      </x:c>
      <x:c r="J225" s="32" t="str"/>
    </x:row>
    <x:row r="226" ht="42" customHeight="1">
      <x:c r="A226" s="32" t="str">
        <x:v>Сауле Бадамбаева</x:v>
      </x:c>
      <x:c r="B226" s="32" t="str">
        <x:v>rawToLive</x:v>
      </x:c>
      <x:c r="C226" s="32" t="str">
        <x:v>source_only</x:v>
      </x:c>
      <x:c r="D226" s="32" t="str">
        <x:v>2024-12-30</x:v>
      </x:c>
      <x:c r="E226" s="32" t="n">
        <x:v>8</x:v>
      </x:c>
      <x:c r="F226" s="32" t="str"/>
      <x:c r="G226" s="32" t="str"/>
      <x:c r="H226" s="32" t="str">
        <x:v>Time Sheet</x:v>
      </x:c>
      <x:c r="I226" s="32" t="n">
        <x:v>69</x:v>
      </x:c>
      <x:c r="J226" s="32" t="str"/>
    </x:row>
    <x:row r="227" ht="42" customHeight="1">
      <x:c r="A227" s="32" t="str">
        <x:v>Сауле Бадамбаева</x:v>
      </x:c>
      <x:c r="B227" s="32" t="str">
        <x:v>rawToLive</x:v>
      </x:c>
      <x:c r="C227" s="32" t="str">
        <x:v>source_only</x:v>
      </x:c>
      <x:c r="D227" s="32" t="str">
        <x:v>2024-12-31</x:v>
      </x:c>
      <x:c r="E227" s="32" t="n">
        <x:v>8</x:v>
      </x:c>
      <x:c r="F227" s="32" t="str">
        <x:v>---------Отсутствие по уважительной причине(Отпуск, больничный, и.т.д)------------</x:v>
      </x:c>
      <x:c r="G227" s="32" t="str">
        <x:v>Объявлен выходным. На работу выход 05.01.25.</x:v>
      </x:c>
      <x:c r="H227" s="32" t="str">
        <x:v>Time Sheet</x:v>
      </x:c>
      <x:c r="I227" s="32" t="n">
        <x:v>70</x:v>
      </x:c>
      <x:c r="J227" s="32" t="str"/>
    </x:row>
    <x:row r="228" ht="42" customHeight="1">
      <x:c r="A228" s="32" t="str">
        <x:v>Сауле Бадамбаева</x:v>
      </x:c>
      <x:c r="B228" s="32" t="str">
        <x:v>rawToLive</x:v>
      </x:c>
      <x:c r="C228" s="32" t="str">
        <x:v>source_only</x:v>
      </x:c>
      <x:c r="D228" s="32" t="str">
        <x:v>2025-01-07</x:v>
      </x:c>
      <x:c r="E228" s="32" t="n">
        <x:v>8</x:v>
      </x:c>
      <x:c r="F228" s="32" t="str">
        <x:v>---------Отсутствие по уважительной причине(Отпуск, больничный, и.т.д)------------</x:v>
      </x:c>
      <x:c r="G228" s="32" t="str">
        <x:v>Прздничный день, Рождество</x:v>
      </x:c>
      <x:c r="H228" s="32" t="str">
        <x:v>Time Sheet</x:v>
      </x:c>
      <x:c r="I228" s="32" t="n">
        <x:v>73</x:v>
      </x:c>
      <x:c r="J228" s="32" t="str"/>
    </x:row>
    <x:row r="229" ht="42" customHeight="1">
      <x:c r="A229" s="32" t="str">
        <x:v>Сауле Бадамбаева</x:v>
      </x:c>
      <x:c r="B229" s="32" t="str">
        <x:v>rawToLive</x:v>
      </x:c>
      <x:c r="C229" s="32" t="str">
        <x:v>source_only</x:v>
      </x:c>
      <x:c r="D229" s="32" t="str">
        <x:v>2025-02-07</x:v>
      </x:c>
      <x:c r="E229" s="32" t="n">
        <x:v>4</x:v>
      </x:c>
      <x:c r="F229" s="32" t="str">
        <x:v>---------Отсутствие по уважительной причине(Отпуск, больничный, и.т.д)------------</x:v>
      </x:c>
      <x:c r="G229" s="32" t="str">
        <x:v>с утра на прохождение экзамена тестирование по Фин.Мониторингу (обязательный для Аудитора). 60 балл из 70.</x:v>
      </x:c>
      <x:c r="H229" s="32" t="str">
        <x:v>Time Sheet</x:v>
      </x:c>
      <x:c r="I229" s="32" t="n">
        <x:v>101</x:v>
      </x:c>
      <x:c r="J229" s="32" t="str"/>
    </x:row>
    <x:row r="230" ht="42" customHeight="1">
      <x:c r="A230" s="32" t="str">
        <x:v>Сауле Бадамбаева</x:v>
      </x:c>
      <x:c r="B230" s="32" t="str">
        <x:v>rawToLive</x:v>
      </x:c>
      <x:c r="C230" s="32" t="str">
        <x:v>source_only</x:v>
      </x:c>
      <x:c r="D230" s="32" t="str">
        <x:v>2025-02-10</x:v>
      </x:c>
      <x:c r="E230" s="32" t="n">
        <x:v>4</x:v>
      </x:c>
      <x:c r="F230" s="32" t="str">
        <x:v>---------Отсутствие по уважительной причине(Отпуск, больничный, и.т.д)------------</x:v>
      </x:c>
      <x:c r="G230" s="32" t="str">
        <x:v>с утра на прохождение экзамена тестирования по Фин.Мониторингу (обязательный для Аудитора)</x:v>
      </x:c>
      <x:c r="H230" s="32" t="str">
        <x:v>Time Sheet</x:v>
      </x:c>
      <x:c r="I230" s="32" t="n">
        <x:v>103</x:v>
      </x:c>
      <x:c r="J230" s="32" t="str"/>
    </x:row>
    <x:row r="231" ht="42" customHeight="1">
      <x:c r="A231" s="32" t="str">
        <x:v>Сауле Бадамбаева</x:v>
      </x:c>
      <x:c r="B231" s="32" t="str">
        <x:v>rawToLive</x:v>
      </x:c>
      <x:c r="C231" s="32" t="str">
        <x:v>source_only</x:v>
      </x:c>
      <x:c r="D231" s="32" t="str">
        <x:v>2025-02-12</x:v>
      </x:c>
      <x:c r="E231" s="32" t="n">
        <x:v>4</x:v>
      </x:c>
      <x:c r="F231" s="32" t="str">
        <x:v>---------Отсутствие по уважительной причине(Отпуск, больничный, и.т.д)------------</x:v>
      </x:c>
      <x:c r="G231" s="32" t="str">
        <x:v>с утра на тестирование по ФМ (обязательно для аудитора)</x:v>
      </x:c>
      <x:c r="H231" s="32" t="str">
        <x:v>Time Sheet</x:v>
      </x:c>
      <x:c r="I231" s="32" t="n">
        <x:v>106</x:v>
      </x:c>
      <x:c r="J231" s="32" t="str"/>
    </x:row>
    <x:row r="232" ht="42" customHeight="1">
      <x:c r="A232" s="32" t="str">
        <x:v>Сауле Бадамбаева</x:v>
      </x:c>
      <x:c r="B232" s="32" t="str">
        <x:v>rawToLive</x:v>
      </x:c>
      <x:c r="C232" s="32" t="str">
        <x:v>source_only</x:v>
      </x:c>
      <x:c r="D232" s="32" t="str">
        <x:v>2025-02-14</x:v>
      </x:c>
      <x:c r="E232" s="32" t="n">
        <x:v>8</x:v>
      </x:c>
      <x:c r="F232" s="32" t="str">
        <x:v>---------Отсутствие по уважительной причине(Отпуск, больничный, и.т.д)------------</x:v>
      </x:c>
      <x:c r="G232" s="32" t="str">
        <x:v>Взяла дни с прошлого периода. Согласовали</x:v>
      </x:c>
      <x:c r="H232" s="32" t="str">
        <x:v>Time Sheet</x:v>
      </x:c>
      <x:c r="I232" s="32" t="n">
        <x:v>109</x:v>
      </x:c>
      <x:c r="J232" s="32" t="str"/>
    </x:row>
    <x:row r="233" ht="42" customHeight="1">
      <x:c r="A233" s="32" t="str">
        <x:v>Сауле Бадамбаева</x:v>
      </x:c>
      <x:c r="B233" s="32" t="str">
        <x:v>rawToLive</x:v>
      </x:c>
      <x:c r="C233" s="32" t="str">
        <x:v>source_only</x:v>
      </x:c>
      <x:c r="D233" s="32" t="str">
        <x:v>2025-02-17</x:v>
      </x:c>
      <x:c r="E233" s="32" t="n">
        <x:v>8</x:v>
      </x:c>
      <x:c r="F233" s="32" t="str">
        <x:v>---------Отсутствие по уважительной причине(Отпуск, больничный, и.т.д)------------</x:v>
      </x:c>
      <x:c r="G233" s="32" t="str">
        <x:v>Взяла дни с прошлого периода. Согласовали</x:v>
      </x:c>
      <x:c r="H233" s="32" t="str">
        <x:v>Time Sheet</x:v>
      </x:c>
      <x:c r="I233" s="32" t="n">
        <x:v>110</x:v>
      </x:c>
      <x:c r="J233" s="32" t="str"/>
    </x:row>
    <x:row r="234" ht="42" customHeight="1">
      <x:c r="A234" s="32" t="str">
        <x:v>Сауле Бадамбаева</x:v>
      </x:c>
      <x:c r="B234" s="32" t="str">
        <x:v>rawToLive</x:v>
      </x:c>
      <x:c r="C234" s="32" t="str">
        <x:v>source_only</x:v>
      </x:c>
      <x:c r="D234" s="32" t="str">
        <x:v>2025-02-18</x:v>
      </x:c>
      <x:c r="E234" s="32" t="n">
        <x:v>8</x:v>
      </x:c>
      <x:c r="F234" s="32" t="str">
        <x:v>---------Отсутствие по уважительной причине(Отпуск, больничный, и.т.д)------------</x:v>
      </x:c>
      <x:c r="G234" s="32" t="str">
        <x:v>Взяла дни с прошлого периода. Согласовали</x:v>
      </x:c>
      <x:c r="H234" s="32" t="str">
        <x:v>Time Sheet</x:v>
      </x:c>
      <x:c r="I234" s="32" t="n">
        <x:v>111</x:v>
      </x:c>
      <x:c r="J234" s="32" t="str"/>
    </x:row>
    <x:row r="235" ht="42" customHeight="1">
      <x:c r="A235" s="32" t="str">
        <x:v>Сауле Бадамбаева</x:v>
      </x:c>
      <x:c r="B235" s="32" t="str">
        <x:v>rawToLive</x:v>
      </x:c>
      <x:c r="C235" s="32" t="str">
        <x:v>source_only</x:v>
      </x:c>
      <x:c r="D235" s="32" t="str">
        <x:v>2025-02-19</x:v>
      </x:c>
      <x:c r="E235" s="32" t="n">
        <x:v>8</x:v>
      </x:c>
      <x:c r="F235" s="32" t="str">
        <x:v>---------Отсутствие по уважительной причине(Отпуск, больничный, и.т.д)------------</x:v>
      </x:c>
      <x:c r="G235" s="32" t="str">
        <x:v>Взяла дни с прошлого периода. Согласовали</x:v>
      </x:c>
      <x:c r="H235" s="32" t="str">
        <x:v>Time Sheet</x:v>
      </x:c>
      <x:c r="I235" s="32" t="n">
        <x:v>112</x:v>
      </x:c>
      <x:c r="J235" s="32" t="str"/>
    </x:row>
    <x:row r="236" ht="42" customHeight="1">
      <x:c r="A236" s="32" t="str">
        <x:v>Сауле Бадамбаева</x:v>
      </x:c>
      <x:c r="B236" s="32" t="str">
        <x:v>rawToLive</x:v>
      </x:c>
      <x:c r="C236" s="32" t="str">
        <x:v>source_only</x:v>
      </x:c>
      <x:c r="D236" s="32" t="str">
        <x:v>2025-02-20</x:v>
      </x:c>
      <x:c r="E236" s="32" t="n">
        <x:v>4</x:v>
      </x:c>
      <x:c r="F236" s="32" t="str">
        <x:v>---------Отсутствие по уважительной причине(Отпуск, больничный, и.т.д)------------</x:v>
      </x:c>
      <x:c r="G236" s="32" t="str">
        <x:v>Взяла дни с прошлого периода. Согласовали</x:v>
      </x:c>
      <x:c r="H236" s="32" t="str">
        <x:v>Time Sheet</x:v>
      </x:c>
      <x:c r="I236" s="32" t="n">
        <x:v>113</x:v>
      </x:c>
      <x:c r="J236" s="32" t="str"/>
    </x:row>
    <x:row r="237" ht="42" customHeight="1">
      <x:c r="A237" s="32" t="str">
        <x:v>Сауле Бадамбаева</x:v>
      </x:c>
      <x:c r="B237" s="32" t="str">
        <x:v>rawToLive</x:v>
      </x:c>
      <x:c r="C237" s="32" t="str">
        <x:v>source_only</x:v>
      </x:c>
      <x:c r="D237" s="32" t="str">
        <x:v>2025-02-27</x:v>
      </x:c>
      <x:c r="E237" s="32" t="n">
        <x:v>4</x:v>
      </x:c>
      <x:c r="F237" s="32" t="str"/>
      <x:c r="G237" s="32" t="str"/>
      <x:c r="H237" s="32" t="str">
        <x:v>Time Sheet</x:v>
      </x:c>
      <x:c r="I237" s="32" t="n">
        <x:v>123</x:v>
      </x:c>
      <x:c r="J237" s="32" t="str"/>
    </x:row>
    <x:row r="238" ht="42" customHeight="1">
      <x:c r="A238" s="32" t="str">
        <x:v>Сауле Бадамбаева</x:v>
      </x:c>
      <x:c r="B238" s="32" t="str">
        <x:v>rawToLive</x:v>
      </x:c>
      <x:c r="C238" s="32" t="str">
        <x:v>source_only</x:v>
      </x:c>
      <x:c r="D238" s="32" t="str">
        <x:v>2025-03-07</x:v>
      </x:c>
      <x:c r="E238" s="32" t="n">
        <x:v>4</x:v>
      </x:c>
      <x:c r="F238" s="32" t="str">
        <x:v>---------Отсутствие по уважительной причине(Отпуск, больничный, и.т.д)------------</x:v>
      </x:c>
      <x:c r="G238" s="32" t="str">
        <x:v>В СВЯЗИ С ПРАЗДНИКОМ РАБ.ДЕНЬ ПОЛДНЯ</x:v>
      </x:c>
      <x:c r="H238" s="32" t="str">
        <x:v>Time Sheet</x:v>
      </x:c>
      <x:c r="I238" s="32" t="n">
        <x:v>135</x:v>
      </x:c>
      <x:c r="J238" s="32" t="str"/>
    </x:row>
    <x:row r="239" ht="42" customHeight="1">
      <x:c r="A239" s="32" t="str">
        <x:v>Сауле Бадамбаева</x:v>
      </x:c>
      <x:c r="B239" s="32" t="str">
        <x:v>rawToLive</x:v>
      </x:c>
      <x:c r="C239" s="32" t="str">
        <x:v>source_only</x:v>
      </x:c>
      <x:c r="D239" s="32" t="str">
        <x:v>2025-03-13</x:v>
      </x:c>
      <x:c r="E239" s="32" t="n">
        <x:v>2</x:v>
      </x:c>
      <x:c r="F239" s="32" t="str"/>
      <x:c r="G239" s="32" t="str">
        <x:v>отпросилась</x:v>
      </x:c>
      <x:c r="H239" s="32" t="str">
        <x:v>Time Sheet</x:v>
      </x:c>
      <x:c r="I239" s="32" t="n">
        <x:v>141</x:v>
      </x:c>
      <x:c r="J239" s="32" t="str"/>
    </x:row>
    <x:row r="240" ht="42" customHeight="1">
      <x:c r="A240" s="32" t="str">
        <x:v>Сауле Бадамбаева</x:v>
      </x:c>
      <x:c r="B240" s="32" t="str">
        <x:v>rawToLive</x:v>
      </x:c>
      <x:c r="C240" s="32" t="str">
        <x:v>source_only</x:v>
      </x:c>
      <x:c r="D240" s="32" t="str">
        <x:v>2025-03-19</x:v>
      </x:c>
      <x:c r="E240" s="32" t="n">
        <x:v>4</x:v>
      </x:c>
      <x:c r="F240" s="32" t="str">
        <x:v>АО НК СПК Алматы (за период 2023-2025) Аудит ФО за 2024 год</x:v>
      </x:c>
      <x:c r="G240" s="32" t="str">
        <x:v>ВОПРОС ПО ЗАЙМАМ, ОТЧЕТАМ ДАМУ, ЛЬГОТНОЙ СТАВКЕ, ДИСКОНТИРОВАНИЯ</x:v>
      </x:c>
      <x:c r="H240" s="32" t="str">
        <x:v>Time Sheet</x:v>
      </x:c>
      <x:c r="I240" s="32" t="n">
        <x:v>149</x:v>
      </x:c>
      <x:c r="J240" s="32" t="str"/>
    </x:row>
    <x:row r="241" ht="42" customHeight="1">
      <x:c r="A241" s="32" t="str">
        <x:v>Сауле Бадамбаева</x:v>
      </x:c>
      <x:c r="B241" s="32" t="str">
        <x:v>rawToLive</x:v>
      </x:c>
      <x:c r="C241" s="32" t="str">
        <x:v>source_only</x:v>
      </x:c>
      <x:c r="D241" s="32" t="str">
        <x:v>2025-03-21</x:v>
      </x:c>
      <x:c r="E241" s="32" t="n">
        <x:v>8</x:v>
      </x:c>
      <x:c r="F241" s="32" t="str">
        <x:v>---------Отсутствие по уважительной причине(Отпуск, больничный, и.т.д)------------</x:v>
      </x:c>
      <x:c r="G241" s="32" t="str">
        <x:v>НАУРЫЗ</x:v>
      </x:c>
      <x:c r="H241" s="32" t="str">
        <x:v>Time Sheet</x:v>
      </x:c>
      <x:c r="I241" s="32" t="n">
        <x:v>151</x:v>
      </x:c>
      <x:c r="J241" s="32" t="str"/>
    </x:row>
    <x:row r="242" ht="42" customHeight="1">
      <x:c r="A242" s="32" t="str">
        <x:v>Сауле Бадамбаева</x:v>
      </x:c>
      <x:c r="B242" s="32" t="str">
        <x:v>rawToLive</x:v>
      </x:c>
      <x:c r="C242" s="32" t="str">
        <x:v>source_only</x:v>
      </x:c>
      <x:c r="D242" s="32" t="str">
        <x:v>2025-03-24</x:v>
      </x:c>
      <x:c r="E242" s="32" t="n">
        <x:v>8</x:v>
      </x:c>
      <x:c r="F242" s="32" t="str">
        <x:v>---------Отсутствие по уважительной причине(Отпуск, больничный, и.т.д)------------</x:v>
      </x:c>
      <x:c r="G242" s="32" t="str">
        <x:v>НАУРЫЗ</x:v>
      </x:c>
      <x:c r="H242" s="32" t="str">
        <x:v>Time Sheet</x:v>
      </x:c>
      <x:c r="I242" s="32" t="n">
        <x:v>152</x:v>
      </x:c>
      <x:c r="J242" s="32" t="str"/>
    </x:row>
    <x:row r="243" ht="42" customHeight="1">
      <x:c r="A243" s="32" t="str">
        <x:v>Сауле Бадамбаева</x:v>
      </x:c>
      <x:c r="B243" s="32" t="str">
        <x:v>rawToLive</x:v>
      </x:c>
      <x:c r="C243" s="32" t="str">
        <x:v>source_only</x:v>
      </x:c>
      <x:c r="D243" s="32" t="str">
        <x:v>2025-03-25</x:v>
      </x:c>
      <x:c r="E243" s="32" t="n">
        <x:v>8</x:v>
      </x:c>
      <x:c r="F243" s="32" t="str">
        <x:v>---------Отсутствие по уважительной причине(Отпуск, больничный, и.т.д)------------</x:v>
      </x:c>
      <x:c r="G243" s="32" t="str">
        <x:v>НАУРЫЗ</x:v>
      </x:c>
      <x:c r="H243" s="32" t="str">
        <x:v>Time Sheet</x:v>
      </x:c>
      <x:c r="I243" s="32" t="n">
        <x:v>153</x:v>
      </x:c>
      <x:c r="J243" s="32" t="str"/>
    </x:row>
    <x:row r="244" ht="42" customHeight="1">
      <x:c r="A244" s="32" t="str">
        <x:v>Сауле Бадамбаева</x:v>
      </x:c>
      <x:c r="B244" s="32" t="str">
        <x:v>rawToLive</x:v>
      </x:c>
      <x:c r="C244" s="32" t="str">
        <x:v>source_only</x:v>
      </x:c>
      <x:c r="D244" s="32" t="str">
        <x:v>2025-04-30</x:v>
      </x:c>
      <x:c r="E244" s="32" t="n">
        <x:v>8</x:v>
      </x:c>
      <x:c r="F244" s="32" t="str"/>
      <x:c r="G244" s="32" t="str">
        <x:v>встреча с клиентом</x:v>
      </x:c>
      <x:c r="H244" s="32" t="str">
        <x:v>Time Sheet</x:v>
      </x:c>
      <x:c r="I244" s="32" t="n">
        <x:v>201</x:v>
      </x:c>
      <x:c r="J244" s="32" t="str"/>
    </x:row>
    <x:row r="245" ht="42" customHeight="1">
      <x:c r="A245" s="32" t="str">
        <x:v>Сауле Бадамбаева</x:v>
      </x:c>
      <x:c r="B245" s="32" t="str">
        <x:v>rawToLive</x:v>
      </x:c>
      <x:c r="C245" s="32" t="str">
        <x:v>source_only</x:v>
      </x:c>
      <x:c r="D245" s="32" t="str">
        <x:v>2025-06-19</x:v>
      </x:c>
      <x:c r="E245" s="32" t="n">
        <x:v>8</x:v>
      </x:c>
      <x:c r="F245" s="32" t="str">
        <x:v>---------Отсутствие по уважительной причине(Отпуск, больничный, и.т.д)------------</x:v>
      </x:c>
      <x:c r="G245" s="32" t="str">
        <x:v>отпуск</x:v>
      </x:c>
      <x:c r="H245" s="32" t="str">
        <x:v>Time Sheet</x:v>
      </x:c>
      <x:c r="I245" s="32" t="n">
        <x:v>245</x:v>
      </x:c>
      <x:c r="J245" s="32" t="str"/>
    </x:row>
    <x:row r="246" ht="42" customHeight="1">
      <x:c r="A246" s="32" t="str">
        <x:v>Сауле Бадамбаева</x:v>
      </x:c>
      <x:c r="B246" s="32" t="str">
        <x:v>rawToLive</x:v>
      </x:c>
      <x:c r="C246" s="32" t="str">
        <x:v>source_only</x:v>
      </x:c>
      <x:c r="D246" s="32" t="str">
        <x:v>2025-06-20</x:v>
      </x:c>
      <x:c r="E246" s="32" t="n">
        <x:v>8</x:v>
      </x:c>
      <x:c r="F246" s="32" t="str">
        <x:v>---------Отсутствие по уважительной причине(Отпуск, больничный, и.т.д)------------</x:v>
      </x:c>
      <x:c r="G246" s="32" t="str">
        <x:v>отпуск</x:v>
      </x:c>
      <x:c r="H246" s="32" t="str">
        <x:v>Time Sheet</x:v>
      </x:c>
      <x:c r="I246" s="32" t="n">
        <x:v>246</x:v>
      </x:c>
      <x:c r="J246" s="32" t="str"/>
    </x:row>
    <x:row r="247" ht="42" customHeight="1">
      <x:c r="A247" s="32" t="str">
        <x:v>Сауле Бадамбаева</x:v>
      </x:c>
      <x:c r="B247" s="32" t="str">
        <x:v>rawToLive</x:v>
      </x:c>
      <x:c r="C247" s="32" t="str">
        <x:v>source_only</x:v>
      </x:c>
      <x:c r="D247" s="32" t="str">
        <x:v>2025-06-23</x:v>
      </x:c>
      <x:c r="E247" s="32" t="n">
        <x:v>8</x:v>
      </x:c>
      <x:c r="F247" s="32" t="str">
        <x:v>---------Отсутствие по уважительной причине(Отпуск, больничный, и.т.д)------------</x:v>
      </x:c>
      <x:c r="G247" s="32" t="str">
        <x:v>отпуск</x:v>
      </x:c>
      <x:c r="H247" s="32" t="str">
        <x:v>Time Sheet</x:v>
      </x:c>
      <x:c r="I247" s="32" t="n">
        <x:v>247</x:v>
      </x:c>
      <x:c r="J247" s="32" t="str"/>
    </x:row>
    <x:row r="248" ht="42" customHeight="1">
      <x:c r="A248" s="32" t="str">
        <x:v>Сауле Бадамбаева</x:v>
      </x:c>
      <x:c r="B248" s="32" t="str">
        <x:v>rawToLive</x:v>
      </x:c>
      <x:c r="C248" s="32" t="str">
        <x:v>source_only</x:v>
      </x:c>
      <x:c r="D248" s="32" t="str">
        <x:v>2025-06-24</x:v>
      </x:c>
      <x:c r="E248" s="32" t="n">
        <x:v>8</x:v>
      </x:c>
      <x:c r="F248" s="32" t="str">
        <x:v>---------Отсутствие по уважительной причине(Отпуск, больничный, и.т.д)------------</x:v>
      </x:c>
      <x:c r="G248" s="32" t="str">
        <x:v>отпуск</x:v>
      </x:c>
      <x:c r="H248" s="32" t="str">
        <x:v>Time Sheet</x:v>
      </x:c>
      <x:c r="I248" s="32" t="n">
        <x:v>248</x:v>
      </x:c>
      <x:c r="J248" s="32" t="str"/>
    </x:row>
    <x:row r="249" ht="42" customHeight="1">
      <x:c r="A249" s="32" t="str">
        <x:v>Сауле Бадамбаева</x:v>
      </x:c>
      <x:c r="B249" s="32" t="str">
        <x:v>rawToLive</x:v>
      </x:c>
      <x:c r="C249" s="32" t="str">
        <x:v>source_only</x:v>
      </x:c>
      <x:c r="D249" s="32" t="str">
        <x:v>2025-06-25</x:v>
      </x:c>
      <x:c r="E249" s="32" t="n">
        <x:v>8</x:v>
      </x:c>
      <x:c r="F249" s="32" t="str">
        <x:v>---------Отсутствие по уважительной причине(Отпуск, больничный, и.т.д)------------</x:v>
      </x:c>
      <x:c r="G249" s="32" t="str">
        <x:v>отпуск</x:v>
      </x:c>
      <x:c r="H249" s="32" t="str">
        <x:v>Time Sheet</x:v>
      </x:c>
      <x:c r="I249" s="32" t="n">
        <x:v>249</x:v>
      </x:c>
      <x:c r="J249" s="32" t="str"/>
    </x:row>
    <x:row r="250" ht="42" customHeight="1">
      <x:c r="A250" s="32" t="str">
        <x:v>Сауле Бадамбаева</x:v>
      </x:c>
      <x:c r="B250" s="32" t="str">
        <x:v>rawToLive</x:v>
      </x:c>
      <x:c r="C250" s="32" t="str">
        <x:v>source_only</x:v>
      </x:c>
      <x:c r="D250" s="32" t="str">
        <x:v>2025-08-07</x:v>
      </x:c>
      <x:c r="E250" s="32" t="n">
        <x:v>8</x:v>
      </x:c>
      <x:c r="F250" s="32" t="str">
        <x:v>---------Отсутствие по уважительной причине(Отпуск, больничный, и.т.д)------------</x:v>
      </x:c>
      <x:c r="G250" s="32" t="str">
        <x:v>отпуск с 07.08.25 по 17.08.25-11дней</x:v>
      </x:c>
      <x:c r="H250" s="32" t="str">
        <x:v>Time Sheet</x:v>
      </x:c>
      <x:c r="I250" s="32" t="n">
        <x:v>287</x:v>
      </x:c>
      <x:c r="J250" s="32" t="str"/>
    </x:row>
    <x:row r="251" ht="42" customHeight="1">
      <x:c r="A251" s="32" t="str">
        <x:v>Сауле Бадамбаева</x:v>
      </x:c>
      <x:c r="B251" s="32" t="str">
        <x:v>rawToLive</x:v>
      </x:c>
      <x:c r="C251" s="32" t="str">
        <x:v>source_only</x:v>
      </x:c>
      <x:c r="D251" s="32" t="str">
        <x:v>2025-08-08</x:v>
      </x:c>
      <x:c r="E251" s="32" t="n">
        <x:v>8</x:v>
      </x:c>
      <x:c r="F251" s="32" t="str">
        <x:v>---------Отсутствие по уважительной причине(Отпуск, больничный, и.т.д)------------</x:v>
      </x:c>
      <x:c r="G251" s="32" t="str">
        <x:v>отпуск с 07.08.25 по 17.08.25-11дней</x:v>
      </x:c>
      <x:c r="H251" s="32" t="str">
        <x:v>Time Sheet</x:v>
      </x:c>
      <x:c r="I251" s="32" t="n">
        <x:v>288</x:v>
      </x:c>
      <x:c r="J251" s="32" t="str"/>
    </x:row>
    <x:row r="252" ht="42" customHeight="1">
      <x:c r="A252" s="32" t="str">
        <x:v>Сауле Бадамбаева</x:v>
      </x:c>
      <x:c r="B252" s="32" t="str">
        <x:v>rawToLive</x:v>
      </x:c>
      <x:c r="C252" s="32" t="str">
        <x:v>source_only</x:v>
      </x:c>
      <x:c r="D252" s="32" t="str">
        <x:v>2025-08-11</x:v>
      </x:c>
      <x:c r="E252" s="32" t="n">
        <x:v>8</x:v>
      </x:c>
      <x:c r="F252" s="32" t="str">
        <x:v>---------Отсутствие по уважительной причине(Отпуск, больничный, и.т.д)------------</x:v>
      </x:c>
      <x:c r="G252" s="32" t="str">
        <x:v>отпуск с 07.08.25 по 17.08.25-11дней</x:v>
      </x:c>
      <x:c r="H252" s="32" t="str">
        <x:v>Time Sheet</x:v>
      </x:c>
      <x:c r="I252" s="32" t="n">
        <x:v>289</x:v>
      </x:c>
      <x:c r="J252" s="32" t="str"/>
    </x:row>
    <x:row r="253" ht="42" customHeight="1">
      <x:c r="A253" s="32" t="str">
        <x:v>Сауле Бадамбаева</x:v>
      </x:c>
      <x:c r="B253" s="32" t="str">
        <x:v>rawToLive</x:v>
      </x:c>
      <x:c r="C253" s="32" t="str">
        <x:v>source_only</x:v>
      </x:c>
      <x:c r="D253" s="32" t="str">
        <x:v>2025-08-12</x:v>
      </x:c>
      <x:c r="E253" s="32" t="n">
        <x:v>8</x:v>
      </x:c>
      <x:c r="F253" s="32" t="str">
        <x:v>---------Отсутствие по уважительной причине(Отпуск, больничный, и.т.д)------------</x:v>
      </x:c>
      <x:c r="G253" s="32" t="str">
        <x:v>отпуск с 07.08.25 по 17.08.25-11дней</x:v>
      </x:c>
      <x:c r="H253" s="32" t="str">
        <x:v>Time Sheet</x:v>
      </x:c>
      <x:c r="I253" s="32" t="n">
        <x:v>290</x:v>
      </x:c>
      <x:c r="J253" s="32" t="str"/>
    </x:row>
    <x:row r="254" ht="42" customHeight="1">
      <x:c r="A254" s="32" t="str">
        <x:v>Сауле Бадамбаева</x:v>
      </x:c>
      <x:c r="B254" s="32" t="str">
        <x:v>rawToLive</x:v>
      </x:c>
      <x:c r="C254" s="32" t="str">
        <x:v>source_only</x:v>
      </x:c>
      <x:c r="D254" s="32" t="str">
        <x:v>2025-08-13</x:v>
      </x:c>
      <x:c r="E254" s="32" t="n">
        <x:v>8</x:v>
      </x:c>
      <x:c r="F254" s="32" t="str">
        <x:v>---------Отсутствие по уважительной причине(Отпуск, больничный, и.т.д)------------</x:v>
      </x:c>
      <x:c r="G254" s="32" t="str">
        <x:v>отпуск с 07.08.25 по 17.08.25-11дней</x:v>
      </x:c>
      <x:c r="H254" s="32" t="str">
        <x:v>Time Sheet</x:v>
      </x:c>
      <x:c r="I254" s="32" t="n">
        <x:v>291</x:v>
      </x:c>
      <x:c r="J254" s="32" t="str"/>
    </x:row>
    <x:row r="255" ht="42" customHeight="1">
      <x:c r="A255" s="32" t="str">
        <x:v>Сауле Бадамбаева</x:v>
      </x:c>
      <x:c r="B255" s="32" t="str">
        <x:v>rawToLive</x:v>
      </x:c>
      <x:c r="C255" s="32" t="str">
        <x:v>source_only</x:v>
      </x:c>
      <x:c r="D255" s="32" t="str">
        <x:v>2025-08-14</x:v>
      </x:c>
      <x:c r="E255" s="32" t="n">
        <x:v>8</x:v>
      </x:c>
      <x:c r="F255" s="32" t="str">
        <x:v>---------Отсутствие по уважительной причине(Отпуск, больничный, и.т.д)------------</x:v>
      </x:c>
      <x:c r="G255" s="32" t="str">
        <x:v>отпуск с 07.08.25 по 17.08.25-11дней</x:v>
      </x:c>
      <x:c r="H255" s="32" t="str">
        <x:v>Time Sheet</x:v>
      </x:c>
      <x:c r="I255" s="32" t="n">
        <x:v>292</x:v>
      </x:c>
      <x:c r="J255" s="32" t="str"/>
    </x:row>
    <x:row r="256" ht="42" customHeight="1">
      <x:c r="A256" s="32" t="str">
        <x:v>Сауле Бадамбаева</x:v>
      </x:c>
      <x:c r="B256" s="32" t="str">
        <x:v>rawToLive</x:v>
      </x:c>
      <x:c r="C256" s="32" t="str">
        <x:v>source_only</x:v>
      </x:c>
      <x:c r="D256" s="32" t="str">
        <x:v>2025-08-15</x:v>
      </x:c>
      <x:c r="E256" s="32" t="n">
        <x:v>8</x:v>
      </x:c>
      <x:c r="F256" s="32" t="str">
        <x:v>---------Отсутствие по уважительной причине(Отпуск, больничный, и.т.д)------------</x:v>
      </x:c>
      <x:c r="G256" s="32" t="str">
        <x:v>отпуск с 07.08.25 по 17.08.25-11дней</x:v>
      </x:c>
      <x:c r="H256" s="32" t="str">
        <x:v>Time Sheet</x:v>
      </x:c>
      <x:c r="I256" s="32" t="n">
        <x:v>293</x:v>
      </x:c>
      <x:c r="J256" s="32" t="str"/>
    </x:row>
    <x:row r="257" ht="42" customHeight="1">
      <x:c r="A257" s="32" t="str">
        <x:v>Сауле Бадамбаева</x:v>
      </x:c>
      <x:c r="B257" s="32" t="str">
        <x:v>rawToLive</x:v>
      </x:c>
      <x:c r="C257" s="32" t="str">
        <x:v>source_only</x:v>
      </x:c>
      <x:c r="D257" s="32" t="str">
        <x:v>2025-09-15</x:v>
      </x:c>
      <x:c r="E257" s="32" t="n">
        <x:v>8</x:v>
      </x:c>
      <x:c r="F257" s="32" t="str">
        <x:v>---------Без проекта----------</x:v>
      </x:c>
      <x:c r="G257" s="32" t="str">
        <x:v>Обзор обучающих семинаров.</x:v>
      </x:c>
      <x:c r="H257" s="32" t="str">
        <x:v>Time Sheet</x:v>
      </x:c>
      <x:c r="I257" s="32" t="n">
        <x:v>323</x:v>
      </x:c>
      <x:c r="J257" s="32" t="str"/>
    </x:row>
    <x:row r="258" ht="42" customHeight="1">
      <x:c r="A258" s="32" t="str">
        <x:v>Сауле Бадамбаева</x:v>
      </x:c>
      <x:c r="B258" s="32" t="str">
        <x:v>rawToLive</x:v>
      </x:c>
      <x:c r="C258" s="32" t="str">
        <x:v>source_only</x:v>
      </x:c>
      <x:c r="D258" s="32" t="str">
        <x:v>2025-09-16</x:v>
      </x:c>
      <x:c r="E258" s="32" t="n">
        <x:v>8</x:v>
      </x:c>
      <x:c r="F258" s="32" t="str">
        <x:v>---------Без проекта----------</x:v>
      </x:c>
      <x:c r="G258" s="32" t="str">
        <x:v>Обзор нового проекта Транко. Обучающие семинары</x:v>
      </x:c>
      <x:c r="H258" s="32" t="str">
        <x:v>Time Sheet</x:v>
      </x:c>
      <x:c r="I258" s="32" t="n">
        <x:v>324</x:v>
      </x:c>
      <x:c r="J258" s="32" t="str"/>
    </x:row>
    <x:row r="259" ht="42" customHeight="1">
      <x:c r="A259" s="32" t="str">
        <x:v>Сауле Бадамбаева</x:v>
      </x:c>
      <x:c r="B259" s="32" t="str">
        <x:v>rawToLive</x:v>
      </x:c>
      <x:c r="C259" s="32" t="str">
        <x:v>source_only</x:v>
      </x:c>
      <x:c r="D259" s="32" t="str">
        <x:v>2025-10-28</x:v>
      </x:c>
      <x:c r="E259" s="32" t="n">
        <x:v>8</x:v>
      </x:c>
      <x:c r="F259" s="32" t="str">
        <x:v>---------Отсутствие по уважительной причине(Отпуск, больничный, и.т.д)------------</x:v>
      </x:c>
      <x:c r="G259" s="32" t="str">
        <x:v>Один день использован в счет трудового отпуска (по согласованию). Остаток дней - 6.</x:v>
      </x:c>
      <x:c r="H259" s="32" t="str">
        <x:v>Time Sheet</x:v>
      </x:c>
      <x:c r="I259" s="32" t="n">
        <x:v>361</x:v>
      </x:c>
      <x:c r="J259" s="32" t="str"/>
    </x:row>
    <x:row r="260" ht="42" customHeight="1">
      <x:c r="A260" s="32" t="str">
        <x:v>Сауле Бадамбаева</x:v>
      </x:c>
      <x:c r="B260" s="32" t="str">
        <x:v>rawToLive</x:v>
      </x:c>
      <x:c r="C260" s="32" t="str">
        <x:v>source_only</x:v>
      </x:c>
      <x:c r="D260" s="32" t="str">
        <x:v>2025-11-18</x:v>
      </x:c>
      <x:c r="E260" s="32" t="n">
        <x:v>8</x:v>
      </x:c>
      <x:c r="F260" s="32" t="str">
        <x:v>---------Отсутствие по уважительной причине(Отпуск, больничный, и.т.д)------------</x:v>
      </x:c>
      <x:c r="G260" s="32" t="str">
        <x:v>Принятие мед.процедуры</x:v>
      </x:c>
      <x:c r="H260" s="32" t="str">
        <x:v>Time Sheet</x:v>
      </x:c>
      <x:c r="I260" s="32" t="n">
        <x:v>381</x:v>
      </x:c>
      <x:c r="J260" s="32" t="str"/>
    </x:row>
    <x:row r="261" ht="42" customHeight="1">
      <x:c r="A261" s="32" t="str">
        <x:v>Сауле Бадамбаева</x:v>
      </x:c>
      <x:c r="B261" s="32" t="str">
        <x:v>rawToLive</x:v>
      </x:c>
      <x:c r="C261" s="32" t="str">
        <x:v>source_only</x:v>
      </x:c>
      <x:c r="D261" s="32" t="str">
        <x:v>2025-12-18</x:v>
      </x:c>
      <x:c r="E261" s="32" t="n">
        <x:v>8</x:v>
      </x:c>
      <x:c r="F261" s="32" t="str">
        <x:v>---------Отсутствие по уважительной причине(Отпуск, больничный, и.т.д)------------</x:v>
      </x:c>
      <x:c r="G261" s="32" t="str">
        <x:v>отпуск 8 кал.дней с 18.12 по 25.12</x:v>
      </x:c>
      <x:c r="H261" s="32" t="str">
        <x:v>Time Sheet</x:v>
      </x:c>
      <x:c r="I261" s="32" t="n">
        <x:v>414</x:v>
      </x:c>
      <x:c r="J261" s="32" t="str"/>
    </x:row>
    <x:row r="262" ht="42" customHeight="1">
      <x:c r="A262" s="32" t="str">
        <x:v>Сауле Бадамбаева</x:v>
      </x:c>
      <x:c r="B262" s="32" t="str">
        <x:v>rawToLive</x:v>
      </x:c>
      <x:c r="C262" s="32" t="str">
        <x:v>source_only</x:v>
      </x:c>
      <x:c r="D262" s="32" t="str">
        <x:v>2025-12-19</x:v>
      </x:c>
      <x:c r="E262" s="32" t="n">
        <x:v>8</x:v>
      </x:c>
      <x:c r="F262" s="32" t="str">
        <x:v>---------Отсутствие по уважительной причине(Отпуск, больничный, и.т.д)------------</x:v>
      </x:c>
      <x:c r="G262" s="32" t="str">
        <x:v>отпуск 8 кал.дней с 18.12 по 25.12</x:v>
      </x:c>
      <x:c r="H262" s="32" t="str">
        <x:v>Time Sheet</x:v>
      </x:c>
      <x:c r="I262" s="32" t="n">
        <x:v>415</x:v>
      </x:c>
      <x:c r="J262" s="32" t="str"/>
    </x:row>
    <x:row r="263" ht="42" customHeight="1">
      <x:c r="A263" s="32" t="str">
        <x:v>Сауле Бадамбаева</x:v>
      </x:c>
      <x:c r="B263" s="32" t="str">
        <x:v>rawToLive</x:v>
      </x:c>
      <x:c r="C263" s="32" t="str">
        <x:v>source_only</x:v>
      </x:c>
      <x:c r="D263" s="32" t="str">
        <x:v>2025-12-22</x:v>
      </x:c>
      <x:c r="E263" s="32" t="n">
        <x:v>8</x:v>
      </x:c>
      <x:c r="F263" s="32" t="str">
        <x:v>---------Отсутствие по уважительной причине(Отпуск, больничный, и.т.д)------------</x:v>
      </x:c>
      <x:c r="G263" s="32" t="str">
        <x:v>отпуск 8 кал.дней с 18.12 по 25.12</x:v>
      </x:c>
      <x:c r="H263" s="32" t="str">
        <x:v>Time Sheet</x:v>
      </x:c>
      <x:c r="I263" s="32" t="n">
        <x:v>416</x:v>
      </x:c>
      <x:c r="J263" s="32" t="str"/>
    </x:row>
    <x:row r="264" ht="42" customHeight="1">
      <x:c r="A264" s="32" t="str">
        <x:v>Сауле Бадамбаева</x:v>
      </x:c>
      <x:c r="B264" s="32" t="str">
        <x:v>rawToLive</x:v>
      </x:c>
      <x:c r="C264" s="32" t="str">
        <x:v>source_only</x:v>
      </x:c>
      <x:c r="D264" s="32" t="str">
        <x:v>2025-12-23</x:v>
      </x:c>
      <x:c r="E264" s="32" t="n">
        <x:v>8</x:v>
      </x:c>
      <x:c r="F264" s="32" t="str">
        <x:v>---------Отсутствие по уважительной причине(Отпуск, больничный, и.т.д)------------</x:v>
      </x:c>
      <x:c r="G264" s="32" t="str">
        <x:v>отпуск 8 кал.дней с 18.12 по 25.12</x:v>
      </x:c>
      <x:c r="H264" s="32" t="str">
        <x:v>Time Sheet</x:v>
      </x:c>
      <x:c r="I264" s="32" t="n">
        <x:v>417</x:v>
      </x:c>
      <x:c r="J264" s="32" t="str"/>
    </x:row>
    <x:row r="265" ht="42" customHeight="1">
      <x:c r="A265" s="32" t="str">
        <x:v>Сауле Бадамбаева</x:v>
      </x:c>
      <x:c r="B265" s="32" t="str">
        <x:v>rawToLive</x:v>
      </x:c>
      <x:c r="C265" s="32" t="str">
        <x:v>source_only</x:v>
      </x:c>
      <x:c r="D265" s="32" t="str">
        <x:v>2025-12-31</x:v>
      </x:c>
      <x:c r="E265" s="32" t="n">
        <x:v>8</x:v>
      </x:c>
      <x:c r="F265" s="32" t="str">
        <x:v>---------Отсутствие по уважительной причине(Отпуск, больничный, и.т.д)------------</x:v>
      </x:c>
      <x:c r="G265" s="32" t="str">
        <x:v>объявлено Руководством выходным днем.</x:v>
      </x:c>
      <x:c r="H265" s="32" t="str">
        <x:v>Time Sheet</x:v>
      </x:c>
      <x:c r="I265" s="32" t="n">
        <x:v>423</x:v>
      </x:c>
      <x:c r="J265" s="32" t="str"/>
    </x:row>
    <x:row r="266" ht="42" customHeight="1">
      <x:c r="A266" s="32" t="str">
        <x:v>Сауле Бадамбаева</x:v>
      </x:c>
      <x:c r="B266" s="32" t="str">
        <x:v>rawToLive</x:v>
      </x:c>
      <x:c r="C266" s="32" t="str">
        <x:v>source_only</x:v>
      </x:c>
      <x:c r="D266" s="32" t="str">
        <x:v>2026-01-21</x:v>
      </x:c>
      <x:c r="E266" s="32" t="n">
        <x:v>8</x:v>
      </x:c>
      <x:c r="F266" s="32" t="str">
        <x:v>---------Отсутствие по уважительной причине(Отпуск, больничный, и.т.д)------------</x:v>
      </x:c>
      <x:c r="G266" s="32" t="str">
        <x:v>1 день в счет неиспользованных дней отпуска (2 дня было). На 22.01.26 - остаток 1 день отпуска.</x:v>
      </x:c>
      <x:c r="H266" s="32" t="str">
        <x:v>Time Sheet</x:v>
      </x:c>
      <x:c r="I266" s="32" t="n">
        <x:v>439</x:v>
      </x:c>
      <x:c r="J266" s="32" t="str"/>
    </x:row>
    <x:row r="267" ht="42" customHeight="1">
      <x:c r="A267" s="32" t="str">
        <x:v>Сауле Бадамбаева</x:v>
      </x:c>
      <x:c r="B267" s="32" t="str">
        <x:v>rawToLive</x:v>
      </x:c>
      <x:c r="C267" s="32" t="str">
        <x:v>source_only</x:v>
      </x:c>
      <x:c r="D267" s="32" t="str">
        <x:v>2026-03-03</x:v>
      </x:c>
      <x:c r="E267" s="32" t="n">
        <x:v>8</x:v>
      </x:c>
      <x:c r="F267" s="32" t="str">
        <x:v>Аудит ФО за 2025 год РГП на ПХВ "Казаэронавигация"</x:v>
      </x:c>
      <x:c r="G267" s="32" t="str">
        <x:v>КАЗАЭРОНАВИГАЦИЯ</x:v>
      </x:c>
      <x:c r="H267" s="32" t="str">
        <x:v>Time Sheet</x:v>
      </x:c>
      <x:c r="I267" s="32" t="n">
        <x:v>477</x:v>
      </x:c>
      <x:c r="J267" s="32" t="str"/>
    </x:row>
    <x:row r="268" ht="42" customHeight="1">
      <x:c r="A268" s="32" t="str">
        <x:v>Сауле Бадамбаева</x:v>
      </x:c>
      <x:c r="B268" s="32" t="str">
        <x:v>rawToLive</x:v>
      </x:c>
      <x:c r="C268" s="32" t="str">
        <x:v>live_only</x:v>
      </x:c>
      <x:c r="D268" s="32" t="str">
        <x:v>2026-06-01</x:v>
      </x:c>
      <x:c r="E268" s="32" t="n">
        <x:v>8</x:v>
      </x:c>
      <x:c r="F268" s="32" t="str">
        <x:v>Частная компания «Allium Ursinum Limited» (Группа компаний Бай-Тау Минералс) Аудит ФО за 2025 год: выпуск аудиторского заключения</x:v>
      </x:c>
      <x:c r="G268" s="32" t="str">
        <x:v>ОТЧЕТ2025</x:v>
      </x:c>
      <x:c r="H268" s="32" t="str">
        <x:v>live batch v3</x:v>
      </x:c>
      <x:c r="I268" s="32" t="n">
        <x:v>27</x:v>
      </x:c>
      <x:c r="J268" s="32" t="str">
        <x:v>submitted</x:v>
      </x:c>
    </x:row>
    <x:row r="269" ht="42" customHeight="1">
      <x:c r="A269" s="32" t="str">
        <x:v>Сауле Бадамбаева</x:v>
      </x:c>
      <x:c r="B269" s="32" t="str">
        <x:v>rawToLive</x:v>
      </x:c>
      <x:c r="C269" s="32" t="str">
        <x:v>live_only</x:v>
      </x:c>
      <x:c r="D269" s="32" t="str">
        <x:v>2026-06-01</x:v>
      </x:c>
      <x:c r="E269" s="32" t="n">
        <x:v>8</x:v>
      </x:c>
      <x:c r="F269" s="32" t="str">
        <x:v>АО «Шығыс Жылу» Аудит ФО за 2025 год</x:v>
      </x:c>
      <x:c r="G269" s="32" t="str">
        <x:v>ОТЧЕТ ПО ПОВТОРНУЮ ПРОВЕРКУ</x:v>
      </x:c>
      <x:c r="H269" s="32" t="str">
        <x:v>live batch v3</x:v>
      </x:c>
      <x:c r="I269" s="32" t="n">
        <x:v>28</x:v>
      </x:c>
      <x:c r="J269" s="32" t="str">
        <x:v>submitted</x:v>
      </x:c>
    </x:row>
    <x:row r="270" ht="42" customHeight="1">
      <x:c r="A270" s="32" t="str">
        <x:v>Сауле Бадамбаева</x:v>
      </x:c>
      <x:c r="B270" s="32" t="str">
        <x:v>rawToLive</x:v>
      </x:c>
      <x:c r="C270" s="32" t="str">
        <x:v>live_only</x:v>
      </x:c>
      <x:c r="D270" s="32" t="str">
        <x:v>2026-06-01</x:v>
      </x:c>
      <x:c r="E270" s="32" t="n">
        <x:v>8</x:v>
      </x:c>
      <x:c r="F270" s="32" t="str">
        <x:v>Административная работа</x:v>
      </x:c>
      <x:c r="G270" s="32" t="str">
        <x:v>FINBOX 2025</x:v>
      </x:c>
      <x:c r="H270" s="32" t="str">
        <x:v>live batch v3</x:v>
      </x:c>
      <x:c r="I270" s="32" t="n">
        <x:v>29</x:v>
      </x:c>
      <x:c r="J270" s="32" t="str">
        <x:v>submitted</x:v>
      </x:c>
    </x:row>
    <x:row r="271" ht="42" customHeight="1">
      <x:c r="A271" s="32" t="str">
        <x:v>Сауле Бадамбаева</x:v>
      </x:c>
      <x:c r="B271" s="32" t="str">
        <x:v>rawToLive</x:v>
      </x:c>
      <x:c r="C271" s="32" t="str">
        <x:v>live_only</x:v>
      </x:c>
      <x:c r="D271" s="32" t="str">
        <x:v>2026-06-02</x:v>
      </x:c>
      <x:c r="E271" s="32" t="n">
        <x:v>8</x:v>
      </x:c>
      <x:c r="F271" s="32" t="str">
        <x:v>Административная работа</x:v>
      </x:c>
      <x:c r="G271" s="32" t="str">
        <x:v>ДАННЫЕ УЧЕТА 1С</x:v>
      </x:c>
      <x:c r="H271" s="32" t="str">
        <x:v>live batch v3</x:v>
      </x:c>
      <x:c r="I271" s="32" t="n">
        <x:v>30</x:v>
      </x:c>
      <x:c r="J271" s="32" t="str">
        <x:v>submitted</x:v>
      </x:c>
    </x:row>
    <x:row r="272" ht="42" customHeight="1">
      <x:c r="A272" s="32" t="str">
        <x:v>Сауле Бадамбаева</x:v>
      </x:c>
      <x:c r="B272" s="32" t="str">
        <x:v>rawToLive</x:v>
      </x:c>
      <x:c r="C272" s="32" t="str">
        <x:v>live_only</x:v>
      </x:c>
      <x:c r="D272" s="32" t="str">
        <x:v>2026-06-02</x:v>
      </x:c>
      <x:c r="E272" s="32" t="n">
        <x:v>8</x:v>
      </x:c>
      <x:c r="F272" s="32" t="str">
        <x:v>Административная работа</x:v>
      </x:c>
      <x:c r="G272" s="32" t="str">
        <x:v>СПК АКТОБЕ ВОПРОСЫ ПО АУДИТУ2025</x:v>
      </x:c>
      <x:c r="H272" s="32" t="str">
        <x:v>live batch v3</x:v>
      </x:c>
      <x:c r="I272" s="32" t="n">
        <x:v>31</x:v>
      </x:c>
      <x:c r="J272" s="32" t="str">
        <x:v>submitted</x:v>
      </x:c>
    </x:row>
    <x:row r="273" ht="42" customHeight="1">
      <x:c r="A273" s="32" t="str">
        <x:v>Сауле Бадамбаева</x:v>
      </x:c>
      <x:c r="B273" s="32" t="str">
        <x:v>rawToLive</x:v>
      </x:c>
      <x:c r="C273" s="32" t="str">
        <x:v>live_only</x:v>
      </x:c>
      <x:c r="D273" s="32" t="str">
        <x:v>2026-05-27</x:v>
      </x:c>
      <x:c r="E273" s="32" t="n">
        <x:v>8</x:v>
      </x:c>
      <x:c r="F273" s="32" t="str">
        <x:v>Административная работа</x:v>
      </x:c>
      <x:c r="G273" s="32" t="str">
        <x:v>КАЗАХСТАН АСЕЛСАН ИНЖИНИРИНГ Отчет 2025 ДОРАБОТКА ПОСЛЕ КОММЕНТАРИЕВ</x:v>
      </x:c>
      <x:c r="H273" s="32" t="str">
        <x:v>live batch v3</x:v>
      </x:c>
      <x:c r="I273" s="32" t="n">
        <x:v>180</x:v>
      </x:c>
      <x:c r="J273" s="32" t="str">
        <x:v>approved</x:v>
      </x:c>
    </x:row>
    <x:row r="274" ht="42" customHeight="1">
      <x:c r="A274" s="32" t="str">
        <x:v>Сауле Бадамбаева</x:v>
      </x:c>
      <x:c r="B274" s="32" t="str">
        <x:v>rawToLive</x:v>
      </x:c>
      <x:c r="C274" s="32" t="str">
        <x:v>live_only</x:v>
      </x:c>
      <x:c r="D274" s="32" t="str">
        <x:v>2026-05-27</x:v>
      </x:c>
      <x:c r="E274" s="32" t="n">
        <x:v>8</x:v>
      </x:c>
      <x:c r="F274" s="32" t="str">
        <x:v>ТОО «TSK Exploration and Mining» (ТСК Эксплорэйшн энд Майнинг) Аудит ФО за 2025 год: выпуск аудиторского заключения</x:v>
      </x:c>
      <x:c r="G274" s="32" t="str">
        <x:v>ИЗМЕНЕНИЯ ПО ОТЧЕТУ 2025</x:v>
      </x:c>
      <x:c r="H274" s="32" t="str">
        <x:v>live batch v3</x:v>
      </x:c>
      <x:c r="I274" s="32" t="n">
        <x:v>181</x:v>
      </x:c>
      <x:c r="J274" s="32" t="str">
        <x:v>approved</x:v>
      </x:c>
    </x:row>
    <x:row r="275" ht="42" customHeight="1">
      <x:c r="A275" s="32" t="str">
        <x:v>Сауле Бадамбаева</x:v>
      </x:c>
      <x:c r="B275" s="32" t="str">
        <x:v>rawToLive</x:v>
      </x:c>
      <x:c r="C275" s="32" t="str">
        <x:v>live_only</x:v>
      </x:c>
      <x:c r="D275" s="32" t="str">
        <x:v>2026-05-28</x:v>
      </x:c>
      <x:c r="E275" s="32" t="n">
        <x:v>8</x:v>
      </x:c>
      <x:c r="F275" s="32" t="str">
        <x:v>Административная работа</x:v>
      </x:c>
      <x:c r="G275" s="32" t="str">
        <x:v>ОБСУЖДЕНИЕ С РУК.ПО ПРОГРАММАМ АУДИТА</x:v>
      </x:c>
      <x:c r="H275" s="32" t="str">
        <x:v>live batch v3</x:v>
      </x:c>
      <x:c r="I275" s="32" t="n">
        <x:v>182</x:v>
      </x:c>
      <x:c r="J275" s="32" t="str">
        <x:v>approved</x:v>
      </x:c>
    </x:row>
    <x:row r="276" ht="42" customHeight="1">
      <x:c r="A276" s="32" t="str">
        <x:v>Сауле Бадамбаева</x:v>
      </x:c>
      <x:c r="B276" s="32" t="str">
        <x:v>rawToLive</x:v>
      </x:c>
      <x:c r="C276" s="32" t="str">
        <x:v>live_only</x:v>
      </x:c>
      <x:c r="D276" s="32" t="str">
        <x:v>2026-05-28</x:v>
      </x:c>
      <x:c r="E276" s="32" t="n">
        <x:v>8</x:v>
      </x:c>
      <x:c r="F276" s="32" t="str">
        <x:v>Административная работа</x:v>
      </x:c>
      <x:c r="G276" s="32" t="str">
        <x:v>ОТЧЕТЫ САУРАН, ОБСУЖДЕНИЕ С ГБ</x:v>
      </x:c>
      <x:c r="H276" s="32" t="str">
        <x:v>live batch v3</x:v>
      </x:c>
      <x:c r="I276" s="32" t="n">
        <x:v>183</x:v>
      </x:c>
      <x:c r="J276" s="32" t="str">
        <x:v>approved</x:v>
      </x:c>
    </x:row>
    <x:row r="277" ht="42" customHeight="1">
      <x:c r="A277" s="32" t="str">
        <x:v>Сауле Бадамбаева</x:v>
      </x:c>
      <x:c r="B277" s="32" t="str">
        <x:v>rawToLive</x:v>
      </x:c>
      <x:c r="C277" s="32" t="str">
        <x:v>live_only</x:v>
      </x:c>
      <x:c r="D277" s="32" t="str">
        <x:v>2026-05-28</x:v>
      </x:c>
      <x:c r="E277" s="32" t="n">
        <x:v>8</x:v>
      </x:c>
      <x:c r="F277" s="32" t="str">
        <x:v>Административная работа</x:v>
      </x:c>
      <x:c r="G277" s="32" t="str">
        <x:v>СПК САРЫ  АРКА ДАННЫЕ УЧЕТА ПО 1С</x:v>
      </x:c>
      <x:c r="H277" s="32" t="str">
        <x:v>live batch v3</x:v>
      </x:c>
      <x:c r="I277" s="32" t="n">
        <x:v>184</x:v>
      </x:c>
      <x:c r="J277" s="32" t="str">
        <x:v>approved</x:v>
      </x:c>
    </x:row>
    <x:row r="278" ht="42" customHeight="1">
      <x:c r="A278" s="32" t="str">
        <x:v>Сауле Бадамбаева</x:v>
      </x:c>
      <x:c r="B278" s="32" t="str">
        <x:v>rawToLive</x:v>
      </x:c>
      <x:c r="C278" s="32" t="str">
        <x:v>live_only</x:v>
      </x:c>
      <x:c r="D278" s="32" t="str">
        <x:v>2026-05-29</x:v>
      </x:c>
      <x:c r="E278" s="32" t="n">
        <x:v>8</x:v>
      </x:c>
      <x:c r="F278" s="32" t="str">
        <x:v>Административная работа</x:v>
      </x:c>
      <x:c r="G278" s="32" t="str">
        <x:v>СПК САРЫ  АРКА ДАННЫЕ УЧЕТА ПО 1С</x:v>
      </x:c>
      <x:c r="H278" s="32" t="str">
        <x:v>live batch v3</x:v>
      </x:c>
      <x:c r="I278" s="32" t="n">
        <x:v>185</x:v>
      </x:c>
      <x:c r="J278" s="32" t="str">
        <x:v>approved</x:v>
      </x:c>
    </x:row>
    <x:row r="279" ht="42" customHeight="1">
      <x:c r="A279" s="32" t="str">
        <x:v>Сауле Бадамбаева</x:v>
      </x:c>
      <x:c r="B279" s="32" t="str">
        <x:v>rawToLive</x:v>
      </x:c>
      <x:c r="C279" s="32" t="str">
        <x:v>live_only</x:v>
      </x:c>
      <x:c r="D279" s="32" t="str">
        <x:v>2026-05-29</x:v>
      </x:c>
      <x:c r="E279" s="32" t="n">
        <x:v>8</x:v>
      </x:c>
      <x:c r="F279" s="32" t="str">
        <x:v>Административная работа</x:v>
      </x:c>
      <x:c r="G279" s="32" t="str">
        <x:v>СПК АКТОБЕ ВОПРОСЫ ПО АУДИТУ2025</x:v>
      </x:c>
      <x:c r="H279" s="32" t="str">
        <x:v>live batch v3</x:v>
      </x:c>
      <x:c r="I279" s="32" t="n">
        <x:v>186</x:v>
      </x:c>
      <x:c r="J279" s="32" t="str">
        <x:v>approved</x:v>
      </x:c>
    </x:row>
    <x:row r="280" ht="42" customHeight="1">
      <x:c r="A280" s="32" t="str">
        <x:v>Сауле Бадамбаева</x:v>
      </x:c>
      <x:c r="B280" s="32" t="str">
        <x:v>rawToLive</x:v>
      </x:c>
      <x:c r="C280" s="32" t="str">
        <x:v>live_only</x:v>
      </x:c>
      <x:c r="D280" s="32" t="str">
        <x:v>2026-05-29</x:v>
      </x:c>
      <x:c r="E280" s="32" t="n">
        <x:v>8</x:v>
      </x:c>
      <x:c r="F280" s="32" t="str">
        <x:v>Административная работа</x:v>
      </x:c>
      <x:c r="G280" s="32" t="str">
        <x:v>ОТЧЕТЫ САУРАН, ОБСУЖДЕНИЕ С ГБ</x:v>
      </x:c>
      <x:c r="H280" s="32" t="str">
        <x:v>live batch v3</x:v>
      </x:c>
      <x:c r="I280" s="32" t="n">
        <x:v>187</x:v>
      </x:c>
      <x:c r="J280" s="32" t="str">
        <x:v>approved</x:v>
      </x:c>
    </x:row>
    <x:row r="281" ht="42" customHeight="1">
      <x:c r="A281" s="32" t="str">
        <x:v>Сауле Бадамбаева</x:v>
      </x:c>
      <x:c r="B281" s="32" t="str">
        <x:v>rawToLive</x:v>
      </x:c>
      <x:c r="C281" s="32" t="str">
        <x:v>live_only</x:v>
      </x:c>
      <x:c r="D281" s="32" t="str">
        <x:v>2025-03-13</x:v>
      </x:c>
      <x:c r="E281" s="32" t="n">
        <x:v>2</x:v>
      </x:c>
      <x:c r="F281" s="32" t="str">
        <x:v>Административная работа</x:v>
      </x:c>
      <x:c r="G281" s="32" t="str">
        <x:v>отпросилась</x:v>
      </x:c>
      <x:c r="H281" s="32" t="str">
        <x:v>live batch v3</x:v>
      </x:c>
      <x:c r="I281" s="32" t="n">
        <x:v>249</x:v>
      </x:c>
      <x:c r="J281" s="32" t="str">
        <x:v>approved</x:v>
      </x:c>
    </x:row>
    <x:row r="282" ht="42" customHeight="1">
      <x:c r="A282" s="32" t="str">
        <x:v>Сауле Бадамбаева</x:v>
      </x:c>
      <x:c r="B282" s="32" t="str">
        <x:v>rawToLive</x:v>
      </x:c>
      <x:c r="C282" s="32" t="str">
        <x:v>live_only</x:v>
      </x:c>
      <x:c r="D282" s="32" t="str">
        <x:v>2024-12-30</x:v>
      </x:c>
      <x:c r="E282" s="32" t="n">
        <x:v>8</x:v>
      </x:c>
      <x:c r="F282" s="32" t="str">
        <x:v>Административная работа</x:v>
      </x:c>
      <x:c r="G282" s="32" t="str"/>
      <x:c r="H282" s="32" t="str">
        <x:v>live batch v3</x:v>
      </x:c>
      <x:c r="I282" s="32" t="n">
        <x:v>269</x:v>
      </x:c>
      <x:c r="J282" s="32" t="str">
        <x:v>approved</x:v>
      </x:c>
    </x:row>
    <x:row r="283" ht="42" customHeight="1">
      <x:c r="A283" s="32" t="str">
        <x:v>Сауле Бадамбаева</x:v>
      </x:c>
      <x:c r="B283" s="32" t="str">
        <x:v>rawToLive</x:v>
      </x:c>
      <x:c r="C283" s="32" t="str">
        <x:v>live_only</x:v>
      </x:c>
      <x:c r="D283" s="32" t="str">
        <x:v>2025-02-27</x:v>
      </x:c>
      <x:c r="E283" s="32" t="n">
        <x:v>4</x:v>
      </x:c>
      <x:c r="F283" s="32" t="str">
        <x:v>Административная работа</x:v>
      </x:c>
      <x:c r="G283" s="32" t="str"/>
      <x:c r="H283" s="32" t="str">
        <x:v>live batch v3</x:v>
      </x:c>
      <x:c r="I283" s="32" t="n">
        <x:v>303</x:v>
      </x:c>
      <x:c r="J283" s="32" t="str">
        <x:v>approved</x:v>
      </x:c>
    </x:row>
    <x:row r="284" ht="42" customHeight="1">
      <x:c r="A284" s="32" t="str">
        <x:v>Сауле Бадамбаева</x:v>
      </x:c>
      <x:c r="B284" s="32" t="str">
        <x:v>rawToLive</x:v>
      </x:c>
      <x:c r="C284" s="32" t="str">
        <x:v>live_only</x:v>
      </x:c>
      <x:c r="D284" s="32" t="str">
        <x:v>2025-04-30</x:v>
      </x:c>
      <x:c r="E284" s="32" t="n">
        <x:v>8</x:v>
      </x:c>
      <x:c r="F284" s="32" t="str">
        <x:v>Административная работа</x:v>
      </x:c>
      <x:c r="G284" s="32" t="str">
        <x:v>встреча с клиентом</x:v>
      </x:c>
      <x:c r="H284" s="32" t="str">
        <x:v>live batch v3</x:v>
      </x:c>
      <x:c r="I284" s="32" t="n">
        <x:v>346</x:v>
      </x:c>
      <x:c r="J284" s="32" t="str">
        <x:v>approved</x:v>
      </x:c>
    </x:row>
    <x:row r="285" ht="42" customHeight="1">
      <x:c r="A285" s="32" t="str">
        <x:v>Сауле Бадамбаева</x:v>
      </x:c>
      <x:c r="B285" s="32" t="str">
        <x:v>rawToLive</x:v>
      </x:c>
      <x:c r="C285" s="32" t="str">
        <x:v>live_only</x:v>
      </x:c>
      <x:c r="D285" s="32" t="str">
        <x:v>2025-09-15</x:v>
      </x:c>
      <x:c r="E285" s="32" t="n">
        <x:v>8</x:v>
      </x:c>
      <x:c r="F285" s="32" t="str">
        <x:v>Административная работа</x:v>
      </x:c>
      <x:c r="G285" s="32" t="str">
        <x:v>Обзор обучающих семинаров.</x:v>
      </x:c>
      <x:c r="H285" s="32" t="str">
        <x:v>live batch v3</x:v>
      </x:c>
      <x:c r="I285" s="32" t="n">
        <x:v>410</x:v>
      </x:c>
      <x:c r="J285" s="32" t="str">
        <x:v>approved</x:v>
      </x:c>
    </x:row>
    <x:row r="286" ht="42" customHeight="1">
      <x:c r="A286" s="32" t="str">
        <x:v>Сауле Бадамбаева</x:v>
      </x:c>
      <x:c r="B286" s="32" t="str">
        <x:v>rawToLive</x:v>
      </x:c>
      <x:c r="C286" s="32" t="str">
        <x:v>live_only</x:v>
      </x:c>
      <x:c r="D286" s="32" t="str">
        <x:v>2025-09-16</x:v>
      </x:c>
      <x:c r="E286" s="32" t="n">
        <x:v>8</x:v>
      </x:c>
      <x:c r="F286" s="32" t="str">
        <x:v>Административная работа</x:v>
      </x:c>
      <x:c r="G286" s="32" t="str">
        <x:v>Обзор нового проекта Транко. Обучающие семинары</x:v>
      </x:c>
      <x:c r="H286" s="32" t="str">
        <x:v>live batch v3</x:v>
      </x:c>
      <x:c r="I286" s="32" t="n">
        <x:v>459</x:v>
      </x:c>
      <x:c r="J286" s="32" t="str">
        <x:v>approved</x:v>
      </x:c>
    </x:row>
    <x:row r="287" ht="42" customHeight="1">
      <x:c r="A287" s="32" t="str">
        <x:v>Сауле Бадамбаева</x:v>
      </x:c>
      <x:c r="B287" s="32" t="str">
        <x:v>driveToLive</x:v>
      </x:c>
      <x:c r="C287" s="32" t="str">
        <x:v>source_only</x:v>
      </x:c>
      <x:c r="D287" s="32" t="str">
        <x:v>2025-03-19</x:v>
      </x:c>
      <x:c r="E287" s="32" t="n">
        <x:v>4</x:v>
      </x:c>
      <x:c r="F287" s="32" t="str">
        <x:v>АО НК СПК Алматы (за период 2023-2025) Аудит ФО за 2024 год</x:v>
      </x:c>
      <x:c r="G287" s="32" t="str">
        <x:v>ВОПРОС ПО ЗАЙМАМ, ОТЧЕТАМ ДАМУ, ЛЬГОТНОЙ СТАВКЕ, ДИСКОНТИРОВАНИЯ</x:v>
      </x:c>
      <x:c r="H287" s="32" t="str">
        <x:v>Drive draft</x:v>
      </x:c>
      <x:c r="I287" s="32" t="n">
        <x:v>122</x:v>
      </x:c>
      <x:c r="J287" s="32" t="str"/>
    </x:row>
    <x:row r="288" ht="42" customHeight="1">
      <x:c r="A288" s="32" t="str">
        <x:v>Сауле Бадамбаева</x:v>
      </x:c>
      <x:c r="B288" s="32" t="str">
        <x:v>driveToLive</x:v>
      </x:c>
      <x:c r="C288" s="32" t="str">
        <x:v>source_only</x:v>
      </x:c>
      <x:c r="D288" s="32" t="str">
        <x:v>2026-03-03</x:v>
      </x:c>
      <x:c r="E288" s="32" t="n">
        <x:v>8</x:v>
      </x:c>
      <x:c r="F288" s="32" t="str">
        <x:v>Аудит ФО за 2025 год РГП на ПХВ "Казаэронавигация"</x:v>
      </x:c>
      <x:c r="G288" s="32" t="str">
        <x:v>КАЗАЭРОНАВИГАЦИЯ</x:v>
      </x:c>
      <x:c r="H288" s="32" t="str">
        <x:v>Drive draft</x:v>
      </x:c>
      <x:c r="I288" s="32" t="n">
        <x:v>427</x:v>
      </x:c>
      <x:c r="J288" s="32" t="str"/>
    </x:row>
    <x:row r="289" ht="42" customHeight="1">
      <x:c r="A289" s="32" t="str">
        <x:v>Сартаева Гаухар Шыныбековна</x:v>
      </x:c>
      <x:c r="B289" s="32" t="str">
        <x:v>rootToLive</x:v>
      </x:c>
      <x:c r="C289" s="32" t="str">
        <x:v>source_only</x:v>
      </x:c>
      <x:c r="D289" s="32" t="str">
        <x:v>2025-06-09</x:v>
      </x:c>
      <x:c r="E289" s="32" t="n">
        <x:v>8</x:v>
      </x:c>
      <x:c r="F289" s="32" t="str">
        <x:v>---------Отсутствие по уважительной причине(Отпуск, больничный, и.т.д)------------</x:v>
      </x:c>
      <x:c r="G289" s="32" t="str">
        <x:v>отпуск</x:v>
      </x:c>
      <x:c r="H289" s="32" t="str">
        <x:v>Time Sheet</x:v>
      </x:c>
      <x:c r="I289" s="32" t="n">
        <x:v>174</x:v>
      </x:c>
      <x:c r="J289" s="32" t="str"/>
    </x:row>
    <x:row r="290" ht="42" customHeight="1">
      <x:c r="A290" s="32" t="str">
        <x:v>Сартаева Гаухар Шыныбековна</x:v>
      </x:c>
      <x:c r="B290" s="32" t="str">
        <x:v>rootToLive</x:v>
      </x:c>
      <x:c r="C290" s="32" t="str">
        <x:v>source_only</x:v>
      </x:c>
      <x:c r="D290" s="32" t="str">
        <x:v>2025-06-23</x:v>
      </x:c>
      <x:c r="E290" s="32" t="n">
        <x:v>8</x:v>
      </x:c>
      <x:c r="F290" s="32" t="str"/>
      <x:c r="G290" s="32" t="str">
        <x:v>АО Шалкия Цинк</x:v>
      </x:c>
      <x:c r="H290" s="32" t="str">
        <x:v>Time Sheet</x:v>
      </x:c>
      <x:c r="I290" s="32" t="n">
        <x:v>176</x:v>
      </x:c>
      <x:c r="J290" s="32" t="str"/>
    </x:row>
    <x:row r="291" ht="42" customHeight="1">
      <x:c r="A291" s="32" t="str">
        <x:v>Сартаева Гаухар Шыныбековна</x:v>
      </x:c>
      <x:c r="B291" s="32" t="str">
        <x:v>rootToLive</x:v>
      </x:c>
      <x:c r="C291" s="32" t="str">
        <x:v>source_only</x:v>
      </x:c>
      <x:c r="D291" s="32" t="str">
        <x:v>2025-06-24</x:v>
      </x:c>
      <x:c r="E291" s="32" t="n">
        <x:v>8</x:v>
      </x:c>
      <x:c r="F291" s="32" t="str"/>
      <x:c r="G291" s="32" t="str">
        <x:v>АО Шалкия Цинк</x:v>
      </x:c>
      <x:c r="H291" s="32" t="str">
        <x:v>Time Sheet</x:v>
      </x:c>
      <x:c r="I291" s="32" t="n">
        <x:v>177</x:v>
      </x:c>
      <x:c r="J291" s="32" t="str"/>
    </x:row>
    <x:row r="292" ht="42" customHeight="1">
      <x:c r="A292" s="32" t="str">
        <x:v>Сартаева Гаухар Шыныбековна</x:v>
      </x:c>
      <x:c r="B292" s="32" t="str">
        <x:v>rootToLive</x:v>
      </x:c>
      <x:c r="C292" s="32" t="str">
        <x:v>source_only</x:v>
      </x:c>
      <x:c r="D292" s="32" t="str">
        <x:v>2025-06-25</x:v>
      </x:c>
      <x:c r="E292" s="32" t="n">
        <x:v>8</x:v>
      </x:c>
      <x:c r="F292" s="32" t="str"/>
      <x:c r="G292" s="32" t="str">
        <x:v>АО Шалкия Цинк</x:v>
      </x:c>
      <x:c r="H292" s="32" t="str">
        <x:v>Time Sheet</x:v>
      </x:c>
      <x:c r="I292" s="32" t="n">
        <x:v>180</x:v>
      </x:c>
      <x:c r="J292" s="32" t="str"/>
    </x:row>
    <x:row r="293" ht="42" customHeight="1">
      <x:c r="A293" s="32" t="str">
        <x:v>Сартаева Гаухар Шыныбековна</x:v>
      </x:c>
      <x:c r="B293" s="32" t="str">
        <x:v>rootToLive</x:v>
      </x:c>
      <x:c r="C293" s="32" t="str">
        <x:v>source_only</x:v>
      </x:c>
      <x:c r="D293" s="32" t="str">
        <x:v>2025-06-26</x:v>
      </x:c>
      <x:c r="E293" s="32" t="n">
        <x:v>8</x:v>
      </x:c>
      <x:c r="F293" s="32" t="str"/>
      <x:c r="G293" s="32" t="str">
        <x:v>АО Шалкия Цинк</x:v>
      </x:c>
      <x:c r="H293" s="32" t="str">
        <x:v>Time Sheet</x:v>
      </x:c>
      <x:c r="I293" s="32" t="n">
        <x:v>181</x:v>
      </x:c>
      <x:c r="J293" s="32" t="str"/>
    </x:row>
    <x:row r="294" ht="42" customHeight="1">
      <x:c r="A294" s="32" t="str">
        <x:v>Сартаева Гаухар Шыныбековна</x:v>
      </x:c>
      <x:c r="B294" s="32" t="str">
        <x:v>rootToLive</x:v>
      </x:c>
      <x:c r="C294" s="32" t="str">
        <x:v>source_only</x:v>
      </x:c>
      <x:c r="D294" s="32" t="str">
        <x:v>2025-07-02</x:v>
      </x:c>
      <x:c r="E294" s="32" t="n">
        <x:v>8</x:v>
      </x:c>
      <x:c r="F294" s="32" t="str"/>
      <x:c r="G294" s="32" t="str">
        <x:v>АО Шалкия Цинк</x:v>
      </x:c>
      <x:c r="H294" s="32" t="str">
        <x:v>Time Sheet</x:v>
      </x:c>
      <x:c r="I294" s="32" t="n">
        <x:v>185</x:v>
      </x:c>
      <x:c r="J294" s="32" t="str"/>
    </x:row>
    <x:row r="295" ht="42" customHeight="1">
      <x:c r="A295" s="32" t="str">
        <x:v>Сартаева Гаухар Шыныбековна</x:v>
      </x:c>
      <x:c r="B295" s="32" t="str">
        <x:v>rootToLive</x:v>
      </x:c>
      <x:c r="C295" s="32" t="str">
        <x:v>source_only</x:v>
      </x:c>
      <x:c r="D295" s="32" t="str">
        <x:v>2025-07-03</x:v>
      </x:c>
      <x:c r="E295" s="32" t="n">
        <x:v>8</x:v>
      </x:c>
      <x:c r="F295" s="32" t="str"/>
      <x:c r="G295" s="32" t="str">
        <x:v>АО Шалкия Цинк</x:v>
      </x:c>
      <x:c r="H295" s="32" t="str">
        <x:v>Time Sheet</x:v>
      </x:c>
      <x:c r="I295" s="32" t="n">
        <x:v>186</x:v>
      </x:c>
      <x:c r="J295" s="32" t="str"/>
    </x:row>
    <x:row r="296" ht="42" customHeight="1">
      <x:c r="A296" s="32" t="str">
        <x:v>Сартаева Гаухар Шыныбековна</x:v>
      </x:c>
      <x:c r="B296" s="32" t="str">
        <x:v>rootToLive</x:v>
      </x:c>
      <x:c r="C296" s="32" t="str">
        <x:v>source_only</x:v>
      </x:c>
      <x:c r="D296" s="32" t="str">
        <x:v>2025-07-04</x:v>
      </x:c>
      <x:c r="E296" s="32" t="n">
        <x:v>5</x:v>
      </x:c>
      <x:c r="F296" s="32" t="str"/>
      <x:c r="G296" s="32" t="str">
        <x:v>АО Шалкия Цинк</x:v>
      </x:c>
      <x:c r="H296" s="32" t="str">
        <x:v>Time Sheet</x:v>
      </x:c>
      <x:c r="I296" s="32" t="n">
        <x:v>188</x:v>
      </x:c>
      <x:c r="J296" s="32" t="str"/>
    </x:row>
    <x:row r="297" ht="42" customHeight="1">
      <x:c r="A297" s="32" t="str">
        <x:v>Сартаева Гаухар Шыныбековна</x:v>
      </x:c>
      <x:c r="B297" s="32" t="str">
        <x:v>rootToLive</x:v>
      </x:c>
      <x:c r="C297" s="32" t="str">
        <x:v>source_only</x:v>
      </x:c>
      <x:c r="D297" s="32" t="str">
        <x:v>2025-07-08</x:v>
      </x:c>
      <x:c r="E297" s="32" t="n">
        <x:v>2</x:v>
      </x:c>
      <x:c r="F297" s="32" t="str"/>
      <x:c r="G297" s="32" t="str">
        <x:v>Грант Торонтон касательно АО Шалкия Цинк</x:v>
      </x:c>
      <x:c r="H297" s="32" t="str">
        <x:v>Time Sheet</x:v>
      </x:c>
      <x:c r="I297" s="32" t="n">
        <x:v>189</x:v>
      </x:c>
      <x:c r="J297" s="32" t="str"/>
    </x:row>
    <x:row r="298" ht="42" customHeight="1">
      <x:c r="A298" s="32" t="str">
        <x:v>Сартаева Гаухар Шыныбековна</x:v>
      </x:c>
      <x:c r="B298" s="32" t="str">
        <x:v>rootToLive</x:v>
      </x:c>
      <x:c r="C298" s="32" t="str">
        <x:v>source_only</x:v>
      </x:c>
      <x:c r="D298" s="32" t="str">
        <x:v>2025-07-08</x:v>
      </x:c>
      <x:c r="E298" s="32" t="n">
        <x:v>6</x:v>
      </x:c>
      <x:c r="F298" s="32" t="str"/>
      <x:c r="G298" s="32" t="str">
        <x:v>АО Шалкия Цинк</x:v>
      </x:c>
      <x:c r="H298" s="32" t="str">
        <x:v>Time Sheet</x:v>
      </x:c>
      <x:c r="I298" s="32" t="n">
        <x:v>190</x:v>
      </x:c>
      <x:c r="J298" s="32" t="str"/>
    </x:row>
    <x:row r="299" ht="42" customHeight="1">
      <x:c r="A299" s="32" t="str">
        <x:v>Сартаева Гаухар Шыныбековна</x:v>
      </x:c>
      <x:c r="B299" s="32" t="str">
        <x:v>rootToLive</x:v>
      </x:c>
      <x:c r="C299" s="32" t="str">
        <x:v>source_only</x:v>
      </x:c>
      <x:c r="D299" s="32" t="str">
        <x:v>2025-07-29</x:v>
      </x:c>
      <x:c r="E299" s="32" t="n">
        <x:v>8</x:v>
      </x:c>
      <x:c r="F299" s="32" t="str"/>
      <x:c r="G299" s="32" t="str">
        <x:v>АО Шалкия Цинк раскрытие для консолидаторов</x:v>
      </x:c>
      <x:c r="H299" s="32" t="str">
        <x:v>Time Sheet</x:v>
      </x:c>
      <x:c r="I299" s="32" t="n">
        <x:v>207</x:v>
      </x:c>
      <x:c r="J299" s="32" t="str"/>
    </x:row>
    <x:row r="300" ht="42" customHeight="1">
      <x:c r="A300" s="32" t="str">
        <x:v>Сартаева Гаухар Шыныбековна</x:v>
      </x:c>
      <x:c r="B300" s="32" t="str">
        <x:v>rootToLive</x:v>
      </x:c>
      <x:c r="C300" s="32" t="str">
        <x:v>source_only</x:v>
      </x:c>
      <x:c r="D300" s="32" t="str">
        <x:v>2025-08-01</x:v>
      </x:c>
      <x:c r="E300" s="32" t="n">
        <x:v>8</x:v>
      </x:c>
      <x:c r="F300" s="32" t="str"/>
      <x:c r="G300" s="32" t="str">
        <x:v>АО Шалкия Цинк раскрытие для консолидаторов</x:v>
      </x:c>
      <x:c r="H300" s="32" t="str">
        <x:v>Time Sheet</x:v>
      </x:c>
      <x:c r="I300" s="32" t="n">
        <x:v>210</x:v>
      </x:c>
      <x:c r="J300" s="32" t="str"/>
    </x:row>
    <x:row r="301" ht="42" customHeight="1">
      <x:c r="A301" s="32" t="str">
        <x:v>Сартаева Гаухар Шыныбековна</x:v>
      </x:c>
      <x:c r="B301" s="32" t="str">
        <x:v>rootToLive</x:v>
      </x:c>
      <x:c r="C301" s="32" t="str">
        <x:v>source_only</x:v>
      </x:c>
      <x:c r="D301" s="32" t="str">
        <x:v>2025-08-20</x:v>
      </x:c>
      <x:c r="E301" s="32" t="n">
        <x:v>4</x:v>
      </x:c>
      <x:c r="F301" s="32" t="str"/>
      <x:c r="G301" s="32" t="str">
        <x:v>Учебные курсы для сотрудников</x:v>
      </x:c>
      <x:c r="H301" s="32" t="str">
        <x:v>Time Sheet</x:v>
      </x:c>
      <x:c r="I301" s="32" t="n">
        <x:v>224</x:v>
      </x:c>
      <x:c r="J301" s="32" t="str"/>
    </x:row>
    <x:row r="302" ht="42" customHeight="1">
      <x:c r="A302" s="32" t="str">
        <x:v>Сартаева Гаухар Шыныбековна</x:v>
      </x:c>
      <x:c r="B302" s="32" t="str">
        <x:v>rootToLive</x:v>
      </x:c>
      <x:c r="C302" s="32" t="str">
        <x:v>source_only</x:v>
      </x:c>
      <x:c r="D302" s="32" t="str">
        <x:v>2025-08-21</x:v>
      </x:c>
      <x:c r="E302" s="32" t="n">
        <x:v>8</x:v>
      </x:c>
      <x:c r="F302" s="32" t="str"/>
      <x:c r="G302" s="32" t="str">
        <x:v>АО Экспортно-кредитное агенство Казахстана</x:v>
      </x:c>
      <x:c r="H302" s="32" t="str">
        <x:v>Time Sheet</x:v>
      </x:c>
      <x:c r="I302" s="32" t="n">
        <x:v>225</x:v>
      </x:c>
      <x:c r="J302" s="32" t="str"/>
    </x:row>
    <x:row r="303" ht="42" customHeight="1">
      <x:c r="A303" s="32" t="str">
        <x:v>Сартаева Гаухар Шыныбековна</x:v>
      </x:c>
      <x:c r="B303" s="32" t="str">
        <x:v>rootToLive</x:v>
      </x:c>
      <x:c r="C303" s="32" t="str">
        <x:v>source_only</x:v>
      </x:c>
      <x:c r="D303" s="32" t="str">
        <x:v>2025-08-22</x:v>
      </x:c>
      <x:c r="E303" s="32" t="n">
        <x:v>8</x:v>
      </x:c>
      <x:c r="F303" s="32" t="str"/>
      <x:c r="G303" s="32" t="str">
        <x:v>АО Экспортно-кредитное агенство Казахстана</x:v>
      </x:c>
      <x:c r="H303" s="32" t="str">
        <x:v>Time Sheet</x:v>
      </x:c>
      <x:c r="I303" s="32" t="n">
        <x:v>226</x:v>
      </x:c>
      <x:c r="J303" s="32" t="str"/>
    </x:row>
    <x:row r="304" ht="42" customHeight="1">
      <x:c r="A304" s="32" t="str">
        <x:v>Сартаева Гаухар Шыныбековна</x:v>
      </x:c>
      <x:c r="B304" s="32" t="str">
        <x:v>rootToLive</x:v>
      </x:c>
      <x:c r="C304" s="32" t="str">
        <x:v>source_only</x:v>
      </x:c>
      <x:c r="D304" s="32" t="str">
        <x:v>2025-08-25</x:v>
      </x:c>
      <x:c r="E304" s="32" t="n">
        <x:v>8</x:v>
      </x:c>
      <x:c r="F304" s="32" t="str"/>
      <x:c r="G304" s="32" t="str">
        <x:v>АО Экспортно-кредитное агенство Казахстана</x:v>
      </x:c>
      <x:c r="H304" s="32" t="str">
        <x:v>Time Sheet</x:v>
      </x:c>
      <x:c r="I304" s="32" t="n">
        <x:v>227</x:v>
      </x:c>
      <x:c r="J304" s="32" t="str"/>
    </x:row>
    <x:row r="305" ht="42" customHeight="1">
      <x:c r="A305" s="32" t="str">
        <x:v>Сартаева Гаухар Шыныбековна</x:v>
      </x:c>
      <x:c r="B305" s="32" t="str">
        <x:v>rootToLive</x:v>
      </x:c>
      <x:c r="C305" s="32" t="str">
        <x:v>source_only</x:v>
      </x:c>
      <x:c r="D305" s="32" t="str">
        <x:v>2025-08-26</x:v>
      </x:c>
      <x:c r="E305" s="32" t="n">
        <x:v>4</x:v>
      </x:c>
      <x:c r="F305" s="32" t="str"/>
      <x:c r="G305" s="32" t="str">
        <x:v>АО Экспортно-кредитное агенство Казахстана + Жалгизтобемунай (исправление тех.ошибки)</x:v>
      </x:c>
      <x:c r="H305" s="32" t="str">
        <x:v>Time Sheet</x:v>
      </x:c>
      <x:c r="I305" s="32" t="n">
        <x:v>228</x:v>
      </x:c>
      <x:c r="J305" s="32" t="str"/>
    </x:row>
    <x:row r="306" ht="42" customHeight="1">
      <x:c r="A306" s="32" t="str">
        <x:v>Сартаева Гаухар Шыныбековна</x:v>
      </x:c>
      <x:c r="B306" s="32" t="str">
        <x:v>rootToLive</x:v>
      </x:c>
      <x:c r="C306" s="32" t="str">
        <x:v>source_only</x:v>
      </x:c>
      <x:c r="D306" s="32" t="str">
        <x:v>2025-08-26</x:v>
      </x:c>
      <x:c r="E306" s="32" t="n">
        <x:v>4</x:v>
      </x:c>
      <x:c r="F306" s="32" t="str"/>
      <x:c r="G306" s="32" t="str">
        <x:v>Учебные курсы для сотрудников</x:v>
      </x:c>
      <x:c r="H306" s="32" t="str">
        <x:v>Time Sheet</x:v>
      </x:c>
      <x:c r="I306" s="32" t="n">
        <x:v>229</x:v>
      </x:c>
      <x:c r="J306" s="32" t="str"/>
    </x:row>
    <x:row r="307" ht="42" customHeight="1">
      <x:c r="A307" s="32" t="str">
        <x:v>Сартаева Гаухар Шыныбековна</x:v>
      </x:c>
      <x:c r="B307" s="32" t="str">
        <x:v>rootToLive</x:v>
      </x:c>
      <x:c r="C307" s="32" t="str">
        <x:v>source_only</x:v>
      </x:c>
      <x:c r="D307" s="32" t="str">
        <x:v>2025-08-27</x:v>
      </x:c>
      <x:c r="E307" s="32" t="n">
        <x:v>4</x:v>
      </x:c>
      <x:c r="F307" s="32" t="str"/>
      <x:c r="G307" s="32" t="str">
        <x:v>АО Экспортно-кредитное агенство Казахстана</x:v>
      </x:c>
      <x:c r="H307" s="32" t="str">
        <x:v>Time Sheet</x:v>
      </x:c>
      <x:c r="I307" s="32" t="n">
        <x:v>230</x:v>
      </x:c>
      <x:c r="J307" s="32" t="str"/>
    </x:row>
    <x:row r="308" ht="42" customHeight="1">
      <x:c r="A308" s="32" t="str">
        <x:v>Сартаева Гаухар Шыныбековна</x:v>
      </x:c>
      <x:c r="B308" s="32" t="str">
        <x:v>rootToLive</x:v>
      </x:c>
      <x:c r="C308" s="32" t="str">
        <x:v>source_only</x:v>
      </x:c>
      <x:c r="D308" s="32" t="str">
        <x:v>2025-08-27</x:v>
      </x:c>
      <x:c r="E308" s="32" t="n">
        <x:v>4</x:v>
      </x:c>
      <x:c r="F308" s="32" t="str"/>
      <x:c r="G308" s="32" t="str">
        <x:v>Учебные курсы для сотрудников</x:v>
      </x:c>
      <x:c r="H308" s="32" t="str">
        <x:v>Time Sheet</x:v>
      </x:c>
      <x:c r="I308" s="32" t="n">
        <x:v>231</x:v>
      </x:c>
      <x:c r="J308" s="32" t="str"/>
    </x:row>
    <x:row r="309" ht="42" customHeight="1">
      <x:c r="A309" s="32" t="str">
        <x:v>Сартаева Гаухар Шыныбековна</x:v>
      </x:c>
      <x:c r="B309" s="32" t="str">
        <x:v>rootToLive</x:v>
      </x:c>
      <x:c r="C309" s="32" t="str">
        <x:v>source_only</x:v>
      </x:c>
      <x:c r="D309" s="32" t="str">
        <x:v>2025-08-28</x:v>
      </x:c>
      <x:c r="E309" s="32" t="n">
        <x:v>8</x:v>
      </x:c>
      <x:c r="F309" s="32" t="str"/>
      <x:c r="G309" s="32" t="str">
        <x:v>АО Экспортно-кредитное агенство Казахстана</x:v>
      </x:c>
      <x:c r="H309" s="32" t="str">
        <x:v>Time Sheet</x:v>
      </x:c>
      <x:c r="I309" s="32" t="n">
        <x:v>232</x:v>
      </x:c>
      <x:c r="J309" s="32" t="str"/>
    </x:row>
    <x:row r="310" ht="42" customHeight="1">
      <x:c r="A310" s="32" t="str">
        <x:v>Сартаева Гаухар Шыныбековна</x:v>
      </x:c>
      <x:c r="B310" s="32" t="str">
        <x:v>rootToLive</x:v>
      </x:c>
      <x:c r="C310" s="32" t="str">
        <x:v>source_only</x:v>
      </x:c>
      <x:c r="D310" s="32" t="str">
        <x:v>2025-08-29</x:v>
      </x:c>
      <x:c r="E310" s="32" t="n">
        <x:v>8</x:v>
      </x:c>
      <x:c r="F310" s="32" t="str"/>
      <x:c r="G310" s="32" t="str">
        <x:v>АО Экспортно-кредитное агенство Казахстана</x:v>
      </x:c>
      <x:c r="H310" s="32" t="str">
        <x:v>Time Sheet</x:v>
      </x:c>
      <x:c r="I310" s="32" t="n">
        <x:v>233</x:v>
      </x:c>
      <x:c r="J310" s="32" t="str"/>
    </x:row>
    <x:row r="311" ht="42" customHeight="1">
      <x:c r="A311" s="32" t="str">
        <x:v>Сартаева Гаухар Шыныбековна</x:v>
      </x:c>
      <x:c r="B311" s="32" t="str">
        <x:v>rootToLive</x:v>
      </x:c>
      <x:c r="C311" s="32" t="str">
        <x:v>source_only</x:v>
      </x:c>
      <x:c r="D311" s="32" t="str">
        <x:v>2025-09-02</x:v>
      </x:c>
      <x:c r="E311" s="32" t="n">
        <x:v>4</x:v>
      </x:c>
      <x:c r="F311" s="32" t="str"/>
      <x:c r="G311" s="32" t="str">
        <x:v>АО Экспортно-кредитное агенство Казахстана</x:v>
      </x:c>
      <x:c r="H311" s="32" t="str">
        <x:v>Time Sheet</x:v>
      </x:c>
      <x:c r="I311" s="32" t="n">
        <x:v>234</x:v>
      </x:c>
      <x:c r="J311" s="32" t="str"/>
    </x:row>
    <x:row r="312" ht="42" customHeight="1">
      <x:c r="A312" s="32" t="str">
        <x:v>Сартаева Гаухар Шыныбековна</x:v>
      </x:c>
      <x:c r="B312" s="32" t="str">
        <x:v>rootToLive</x:v>
      </x:c>
      <x:c r="C312" s="32" t="str">
        <x:v>source_only</x:v>
      </x:c>
      <x:c r="D312" s="32" t="str">
        <x:v>2025-09-02</x:v>
      </x:c>
      <x:c r="E312" s="32" t="n">
        <x:v>4</x:v>
      </x:c>
      <x:c r="F312" s="32" t="str"/>
      <x:c r="G312" s="32" t="str">
        <x:v>Учебные курсы для сотрудников</x:v>
      </x:c>
      <x:c r="H312" s="32" t="str">
        <x:v>Time Sheet</x:v>
      </x:c>
      <x:c r="I312" s="32" t="n">
        <x:v>235</x:v>
      </x:c>
      <x:c r="J312" s="32" t="str"/>
    </x:row>
    <x:row r="313" ht="42" customHeight="1">
      <x:c r="A313" s="32" t="str">
        <x:v>Сартаева Гаухар Шыныбековна</x:v>
      </x:c>
      <x:c r="B313" s="32" t="str">
        <x:v>rootToLive</x:v>
      </x:c>
      <x:c r="C313" s="32" t="str">
        <x:v>source_only</x:v>
      </x:c>
      <x:c r="D313" s="32" t="str">
        <x:v>2025-09-03</x:v>
      </x:c>
      <x:c r="E313" s="32" t="n">
        <x:v>4</x:v>
      </x:c>
      <x:c r="F313" s="32" t="str"/>
      <x:c r="G313" s="32" t="str">
        <x:v>АО Экспортно-кредитное агенство Казахстана</x:v>
      </x:c>
      <x:c r="H313" s="32" t="str">
        <x:v>Time Sheet</x:v>
      </x:c>
      <x:c r="I313" s="32" t="n">
        <x:v>236</x:v>
      </x:c>
      <x:c r="J313" s="32" t="str"/>
    </x:row>
    <x:row r="314" ht="42" customHeight="1">
      <x:c r="A314" s="32" t="str">
        <x:v>Сартаева Гаухар Шыныбековна</x:v>
      </x:c>
      <x:c r="B314" s="32" t="str">
        <x:v>rootToLive</x:v>
      </x:c>
      <x:c r="C314" s="32" t="str">
        <x:v>source_only</x:v>
      </x:c>
      <x:c r="D314" s="32" t="str">
        <x:v>2025-09-03</x:v>
      </x:c>
      <x:c r="E314" s="32" t="n">
        <x:v>4</x:v>
      </x:c>
      <x:c r="F314" s="32" t="str"/>
      <x:c r="G314" s="32" t="str">
        <x:v>Учебные курсы для сотрудников</x:v>
      </x:c>
      <x:c r="H314" s="32" t="str">
        <x:v>Time Sheet</x:v>
      </x:c>
      <x:c r="I314" s="32" t="n">
        <x:v>237</x:v>
      </x:c>
      <x:c r="J314" s="32" t="str"/>
    </x:row>
    <x:row r="315" ht="42" customHeight="1">
      <x:c r="A315" s="32" t="str">
        <x:v>Сартаева Гаухар Шыныбековна</x:v>
      </x:c>
      <x:c r="B315" s="32" t="str">
        <x:v>rootToLive</x:v>
      </x:c>
      <x:c r="C315" s="32" t="str">
        <x:v>source_only</x:v>
      </x:c>
      <x:c r="D315" s="32" t="str">
        <x:v>2025-09-04</x:v>
      </x:c>
      <x:c r="E315" s="32" t="n">
        <x:v>8</x:v>
      </x:c>
      <x:c r="F315" s="32" t="str"/>
      <x:c r="G315" s="32" t="str">
        <x:v>АО Экспортно-кредитное агенство Казахстана</x:v>
      </x:c>
      <x:c r="H315" s="32" t="str">
        <x:v>Time Sheet</x:v>
      </x:c>
      <x:c r="I315" s="32" t="n">
        <x:v>238</x:v>
      </x:c>
      <x:c r="J315" s="32" t="str"/>
    </x:row>
    <x:row r="316" ht="42" customHeight="1">
      <x:c r="A316" s="32" t="str">
        <x:v>Сартаева Гаухар Шыныбековна</x:v>
      </x:c>
      <x:c r="B316" s="32" t="str">
        <x:v>rootToLive</x:v>
      </x:c>
      <x:c r="C316" s="32" t="str">
        <x:v>source_only</x:v>
      </x:c>
      <x:c r="D316" s="32" t="str">
        <x:v>2025-09-05</x:v>
      </x:c>
      <x:c r="E316" s="32" t="n">
        <x:v>8</x:v>
      </x:c>
      <x:c r="F316" s="32" t="str"/>
      <x:c r="G316" s="32" t="str">
        <x:v>АО Экспортно-кредитное агенство Казахстана</x:v>
      </x:c>
      <x:c r="H316" s="32" t="str">
        <x:v>Time Sheet</x:v>
      </x:c>
      <x:c r="I316" s="32" t="n">
        <x:v>239</x:v>
      </x:c>
      <x:c r="J316" s="32" t="str"/>
    </x:row>
    <x:row r="317" ht="42" customHeight="1">
      <x:c r="A317" s="32" t="str">
        <x:v>Сартаева Гаухар Шыныбековна</x:v>
      </x:c>
      <x:c r="B317" s="32" t="str">
        <x:v>rootToLive</x:v>
      </x:c>
      <x:c r="C317" s="32" t="str">
        <x:v>source_only</x:v>
      </x:c>
      <x:c r="D317" s="32" t="str">
        <x:v>2025-09-08</x:v>
      </x:c>
      <x:c r="E317" s="32" t="n">
        <x:v>8</x:v>
      </x:c>
      <x:c r="F317" s="32" t="str"/>
      <x:c r="G317" s="32" t="str">
        <x:v>АО Экспортно-кредитное агенство Казахстана</x:v>
      </x:c>
      <x:c r="H317" s="32" t="str">
        <x:v>Time Sheet</x:v>
      </x:c>
      <x:c r="I317" s="32" t="n">
        <x:v>240</x:v>
      </x:c>
      <x:c r="J317" s="32" t="str"/>
    </x:row>
    <x:row r="318" ht="42" customHeight="1">
      <x:c r="A318" s="32" t="str">
        <x:v>Сартаева Гаухар Шыныбековна</x:v>
      </x:c>
      <x:c r="B318" s="32" t="str">
        <x:v>rootToLive</x:v>
      </x:c>
      <x:c r="C318" s="32" t="str">
        <x:v>source_only</x:v>
      </x:c>
      <x:c r="D318" s="32" t="str">
        <x:v>2025-09-09</x:v>
      </x:c>
      <x:c r="E318" s="32" t="n">
        <x:v>4</x:v>
      </x:c>
      <x:c r="F318" s="32" t="str"/>
      <x:c r="G318" s="32" t="str">
        <x:v>АО Экспортно-кредитное агенство Казахстана</x:v>
      </x:c>
      <x:c r="H318" s="32" t="str">
        <x:v>Time Sheet</x:v>
      </x:c>
      <x:c r="I318" s="32" t="n">
        <x:v>241</x:v>
      </x:c>
      <x:c r="J318" s="32" t="str"/>
    </x:row>
    <x:row r="319" ht="42" customHeight="1">
      <x:c r="A319" s="32" t="str">
        <x:v>Сартаева Гаухар Шыныбековна</x:v>
      </x:c>
      <x:c r="B319" s="32" t="str">
        <x:v>rootToLive</x:v>
      </x:c>
      <x:c r="C319" s="32" t="str">
        <x:v>source_only</x:v>
      </x:c>
      <x:c r="D319" s="32" t="str">
        <x:v>2025-09-09</x:v>
      </x:c>
      <x:c r="E319" s="32" t="n">
        <x:v>4</x:v>
      </x:c>
      <x:c r="F319" s="32" t="str"/>
      <x:c r="G319" s="32" t="str">
        <x:v>Учебные курсы для сотрудников</x:v>
      </x:c>
      <x:c r="H319" s="32" t="str">
        <x:v>Time Sheet</x:v>
      </x:c>
      <x:c r="I319" s="32" t="n">
        <x:v>242</x:v>
      </x:c>
      <x:c r="J319" s="32" t="str"/>
    </x:row>
    <x:row r="320" ht="42" customHeight="1">
      <x:c r="A320" s="32" t="str">
        <x:v>Сартаева Гаухар Шыныбековна</x:v>
      </x:c>
      <x:c r="B320" s="32" t="str">
        <x:v>rootToLive</x:v>
      </x:c>
      <x:c r="C320" s="32" t="str">
        <x:v>source_only</x:v>
      </x:c>
      <x:c r="D320" s="32" t="str">
        <x:v>2025-09-10</x:v>
      </x:c>
      <x:c r="E320" s="32" t="n">
        <x:v>2</x:v>
      </x:c>
      <x:c r="F320" s="32" t="str"/>
      <x:c r="G320" s="32" t="str">
        <x:v>АО Экспортно-кредитное агенство Казахстана</x:v>
      </x:c>
      <x:c r="H320" s="32" t="str">
        <x:v>Time Sheet</x:v>
      </x:c>
      <x:c r="I320" s="32" t="n">
        <x:v>243</x:v>
      </x:c>
      <x:c r="J320" s="32" t="str"/>
    </x:row>
    <x:row r="321" ht="42" customHeight="1">
      <x:c r="A321" s="32" t="str">
        <x:v>Сартаева Гаухар Шыныбековна</x:v>
      </x:c>
      <x:c r="B321" s="32" t="str">
        <x:v>rootToLive</x:v>
      </x:c>
      <x:c r="C321" s="32" t="str">
        <x:v>source_only</x:v>
      </x:c>
      <x:c r="D321" s="32" t="str">
        <x:v>2025-09-10</x:v>
      </x:c>
      <x:c r="E321" s="32" t="n">
        <x:v>6</x:v>
      </x:c>
      <x:c r="F321" s="32" t="str"/>
      <x:c r="G321" s="32" t="str">
        <x:v>Учебные курсы для сотрудников</x:v>
      </x:c>
      <x:c r="H321" s="32" t="str">
        <x:v>Time Sheet</x:v>
      </x:c>
      <x:c r="I321" s="32" t="n">
        <x:v>244</x:v>
      </x:c>
      <x:c r="J321" s="32" t="str"/>
    </x:row>
    <x:row r="322" ht="42" customHeight="1">
      <x:c r="A322" s="32" t="str">
        <x:v>Сартаева Гаухар Шыныбековна</x:v>
      </x:c>
      <x:c r="B322" s="32" t="str">
        <x:v>rootToLive</x:v>
      </x:c>
      <x:c r="C322" s="32" t="str">
        <x:v>source_only</x:v>
      </x:c>
      <x:c r="D322" s="32" t="str">
        <x:v>2025-09-11</x:v>
      </x:c>
      <x:c r="E322" s="32" t="n">
        <x:v>8</x:v>
      </x:c>
      <x:c r="F322" s="32" t="str"/>
      <x:c r="G322" s="32" t="str">
        <x:v>АО Экспортно-кредитное агенство Казахстана</x:v>
      </x:c>
      <x:c r="H322" s="32" t="str">
        <x:v>Time Sheet</x:v>
      </x:c>
      <x:c r="I322" s="32" t="n">
        <x:v>245</x:v>
      </x:c>
      <x:c r="J322" s="32" t="str"/>
    </x:row>
    <x:row r="323" ht="42" customHeight="1">
      <x:c r="A323" s="32" t="str">
        <x:v>Сартаева Гаухар Шыныбековна</x:v>
      </x:c>
      <x:c r="B323" s="32" t="str">
        <x:v>rootToLive</x:v>
      </x:c>
      <x:c r="C323" s="32" t="str">
        <x:v>source_only</x:v>
      </x:c>
      <x:c r="D323" s="32" t="str">
        <x:v>2025-09-12</x:v>
      </x:c>
      <x:c r="E323" s="32" t="n">
        <x:v>8</x:v>
      </x:c>
      <x:c r="F323" s="32" t="str"/>
      <x:c r="G323" s="32" t="str">
        <x:v>АО Экспортно-кредитное агенство Казахстана</x:v>
      </x:c>
      <x:c r="H323" s="32" t="str">
        <x:v>Time Sheet</x:v>
      </x:c>
      <x:c r="I323" s="32" t="n">
        <x:v>246</x:v>
      </x:c>
      <x:c r="J323" s="32" t="str"/>
    </x:row>
    <x:row r="324" ht="42" customHeight="1">
      <x:c r="A324" s="32" t="str">
        <x:v>Сартаева Гаухар Шыныбековна</x:v>
      </x:c>
      <x:c r="B324" s="32" t="str">
        <x:v>rootToLive</x:v>
      </x:c>
      <x:c r="C324" s="32" t="str">
        <x:v>source_only</x:v>
      </x:c>
      <x:c r="D324" s="32" t="str">
        <x:v>2025-09-15</x:v>
      </x:c>
      <x:c r="E324" s="32" t="n">
        <x:v>8</x:v>
      </x:c>
      <x:c r="F324" s="32" t="str"/>
      <x:c r="G324" s="32" t="str">
        <x:v>АО Экспортно-кредитное агенство Казахстана</x:v>
      </x:c>
      <x:c r="H324" s="32" t="str">
        <x:v>Time Sheet</x:v>
      </x:c>
      <x:c r="I324" s="32" t="n">
        <x:v>247</x:v>
      </x:c>
      <x:c r="J324" s="32" t="str"/>
    </x:row>
    <x:row r="325" ht="42" customHeight="1">
      <x:c r="A325" s="32" t="str">
        <x:v>Сартаева Гаухар Шыныбековна</x:v>
      </x:c>
      <x:c r="B325" s="32" t="str">
        <x:v>rootToLive</x:v>
      </x:c>
      <x:c r="C325" s="32" t="str">
        <x:v>source_only</x:v>
      </x:c>
      <x:c r="D325" s="32" t="str">
        <x:v>2025-09-16</x:v>
      </x:c>
      <x:c r="E325" s="32" t="n">
        <x:v>4</x:v>
      </x:c>
      <x:c r="F325" s="32" t="str"/>
      <x:c r="G325" s="32" t="str">
        <x:v>АО Экспортно-кредитное агенство Казахстана</x:v>
      </x:c>
      <x:c r="H325" s="32" t="str">
        <x:v>Time Sheet</x:v>
      </x:c>
      <x:c r="I325" s="32" t="n">
        <x:v>248</x:v>
      </x:c>
      <x:c r="J325" s="32" t="str"/>
    </x:row>
    <x:row r="326" ht="42" customHeight="1">
      <x:c r="A326" s="32" t="str">
        <x:v>Сартаева Гаухар Шыныбековна</x:v>
      </x:c>
      <x:c r="B326" s="32" t="str">
        <x:v>rootToLive</x:v>
      </x:c>
      <x:c r="C326" s="32" t="str">
        <x:v>source_only</x:v>
      </x:c>
      <x:c r="D326" s="32" t="str">
        <x:v>2025-09-16</x:v>
      </x:c>
      <x:c r="E326" s="32" t="n">
        <x:v>4</x:v>
      </x:c>
      <x:c r="F326" s="32" t="str"/>
      <x:c r="G326" s="32" t="str">
        <x:v>Учебные курсы для сотрудников</x:v>
      </x:c>
      <x:c r="H326" s="32" t="str">
        <x:v>Time Sheet</x:v>
      </x:c>
      <x:c r="I326" s="32" t="n">
        <x:v>249</x:v>
      </x:c>
      <x:c r="J326" s="32" t="str"/>
    </x:row>
    <x:row r="327" ht="42" customHeight="1">
      <x:c r="A327" s="32" t="str">
        <x:v>Сартаева Гаухар Шыныбековна</x:v>
      </x:c>
      <x:c r="B327" s="32" t="str">
        <x:v>rootToLive</x:v>
      </x:c>
      <x:c r="C327" s="32" t="str">
        <x:v>source_only</x:v>
      </x:c>
      <x:c r="D327" s="32" t="str">
        <x:v>2025-09-17</x:v>
      </x:c>
      <x:c r="E327" s="32" t="n">
        <x:v>8</x:v>
      </x:c>
      <x:c r="F327" s="32" t="str"/>
      <x:c r="G327" s="32" t="str">
        <x:v>АО Экспортно-кредитное агенство Казахстана</x:v>
      </x:c>
      <x:c r="H327" s="32" t="str">
        <x:v>Time Sheet</x:v>
      </x:c>
      <x:c r="I327" s="32" t="n">
        <x:v>250</x:v>
      </x:c>
      <x:c r="J327" s="32" t="str"/>
    </x:row>
    <x:row r="328" ht="42" customHeight="1">
      <x:c r="A328" s="32" t="str">
        <x:v>Сартаева Гаухар Шыныбековна</x:v>
      </x:c>
      <x:c r="B328" s="32" t="str">
        <x:v>rootToLive</x:v>
      </x:c>
      <x:c r="C328" s="32" t="str">
        <x:v>source_only</x:v>
      </x:c>
      <x:c r="D328" s="32" t="str">
        <x:v>2025-09-18</x:v>
      </x:c>
      <x:c r="E328" s="32" t="n">
        <x:v>4</x:v>
      </x:c>
      <x:c r="F328" s="32" t="str"/>
      <x:c r="G328" s="32" t="str">
        <x:v>АО Экспортно-кредитное агенство Казахстана</x:v>
      </x:c>
      <x:c r="H328" s="32" t="str">
        <x:v>Time Sheet</x:v>
      </x:c>
      <x:c r="I328" s="32" t="n">
        <x:v>251</x:v>
      </x:c>
      <x:c r="J328" s="32" t="str"/>
    </x:row>
    <x:row r="329" ht="42" customHeight="1">
      <x:c r="A329" s="32" t="str">
        <x:v>Сартаева Гаухар Шыныбековна</x:v>
      </x:c>
      <x:c r="B329" s="32" t="str">
        <x:v>rootToLive</x:v>
      </x:c>
      <x:c r="C329" s="32" t="str">
        <x:v>source_only</x:v>
      </x:c>
      <x:c r="D329" s="32" t="str">
        <x:v>2025-09-18</x:v>
      </x:c>
      <x:c r="E329" s="32" t="n">
        <x:v>4</x:v>
      </x:c>
      <x:c r="F329" s="32" t="str"/>
      <x:c r="G329" s="32" t="str">
        <x:v>Учебные курсы для сотрудников</x:v>
      </x:c>
      <x:c r="H329" s="32" t="str">
        <x:v>Time Sheet</x:v>
      </x:c>
      <x:c r="I329" s="32" t="n">
        <x:v>252</x:v>
      </x:c>
      <x:c r="J329" s="32" t="str"/>
    </x:row>
    <x:row r="330" ht="42" customHeight="1">
      <x:c r="A330" s="32" t="str">
        <x:v>Сартаева Гаухар Шыныбековна</x:v>
      </x:c>
      <x:c r="B330" s="32" t="str">
        <x:v>rootToLive</x:v>
      </x:c>
      <x:c r="C330" s="32" t="str">
        <x:v>source_only</x:v>
      </x:c>
      <x:c r="D330" s="32" t="str">
        <x:v>2025-09-19</x:v>
      </x:c>
      <x:c r="E330" s="32" t="n">
        <x:v>8</x:v>
      </x:c>
      <x:c r="F330" s="32" t="str"/>
      <x:c r="G330" s="32" t="str">
        <x:v>ТОО ОШЖ</x:v>
      </x:c>
      <x:c r="H330" s="32" t="str">
        <x:v>Time Sheet</x:v>
      </x:c>
      <x:c r="I330" s="32" t="n">
        <x:v>253</x:v>
      </x:c>
      <x:c r="J330" s="32" t="str"/>
    </x:row>
    <x:row r="331" ht="42" customHeight="1">
      <x:c r="A331" s="32" t="str">
        <x:v>Сартаева Гаухар Шыныбековна</x:v>
      </x:c>
      <x:c r="B331" s="32" t="str">
        <x:v>rootToLive</x:v>
      </x:c>
      <x:c r="C331" s="32" t="str">
        <x:v>source_only</x:v>
      </x:c>
      <x:c r="D331" s="32" t="str">
        <x:v>2025-09-22</x:v>
      </x:c>
      <x:c r="E331" s="32" t="n">
        <x:v>8</x:v>
      </x:c>
      <x:c r="F331" s="32" t="str"/>
      <x:c r="G331" s="32" t="str">
        <x:v>ТОО ОШЖ</x:v>
      </x:c>
      <x:c r="H331" s="32" t="str">
        <x:v>Time Sheet</x:v>
      </x:c>
      <x:c r="I331" s="32" t="n">
        <x:v>254</x:v>
      </x:c>
      <x:c r="J331" s="32" t="str"/>
    </x:row>
    <x:row r="332" ht="42" customHeight="1">
      <x:c r="A332" s="32" t="str">
        <x:v>Сартаева Гаухар Шыныбековна</x:v>
      </x:c>
      <x:c r="B332" s="32" t="str">
        <x:v>rootToLive</x:v>
      </x:c>
      <x:c r="C332" s="32" t="str">
        <x:v>source_only</x:v>
      </x:c>
      <x:c r="D332" s="32" t="str">
        <x:v>2025-09-23</x:v>
      </x:c>
      <x:c r="E332" s="32" t="n">
        <x:v>8</x:v>
      </x:c>
      <x:c r="F332" s="32" t="str"/>
      <x:c r="G332" s="32" t="str">
        <x:v>ТОО ОШЖ</x:v>
      </x:c>
      <x:c r="H332" s="32" t="str">
        <x:v>Time Sheet</x:v>
      </x:c>
      <x:c r="I332" s="32" t="n">
        <x:v>255</x:v>
      </x:c>
      <x:c r="J332" s="32" t="str"/>
    </x:row>
    <x:row r="333" ht="42" customHeight="1">
      <x:c r="A333" s="32" t="str">
        <x:v>Сартаева Гаухар Шыныбековна</x:v>
      </x:c>
      <x:c r="B333" s="32" t="str">
        <x:v>rootToLive</x:v>
      </x:c>
      <x:c r="C333" s="32" t="str">
        <x:v>source_only</x:v>
      </x:c>
      <x:c r="D333" s="32" t="str">
        <x:v>2025-09-24</x:v>
      </x:c>
      <x:c r="E333" s="32" t="n">
        <x:v>8</x:v>
      </x:c>
      <x:c r="F333" s="32" t="str"/>
      <x:c r="G333" s="32" t="str">
        <x:v>АО Экспортно-кредитное агенство Казахстана</x:v>
      </x:c>
      <x:c r="H333" s="32" t="str">
        <x:v>Time Sheet</x:v>
      </x:c>
      <x:c r="I333" s="32" t="n">
        <x:v>256</x:v>
      </x:c>
      <x:c r="J333" s="32" t="str"/>
    </x:row>
    <x:row r="334" ht="42" customHeight="1">
      <x:c r="A334" s="32" t="str">
        <x:v>Сартаева Гаухар Шыныбековна</x:v>
      </x:c>
      <x:c r="B334" s="32" t="str">
        <x:v>rootToLive</x:v>
      </x:c>
      <x:c r="C334" s="32" t="str">
        <x:v>source_only</x:v>
      </x:c>
      <x:c r="D334" s="32" t="str">
        <x:v>2025-09-25</x:v>
      </x:c>
      <x:c r="E334" s="32" t="n">
        <x:v>8</x:v>
      </x:c>
      <x:c r="F334" s="32" t="str"/>
      <x:c r="G334" s="32" t="str">
        <x:v>АО Экспортно-кредитное агенство Казахстана</x:v>
      </x:c>
      <x:c r="H334" s="32" t="str">
        <x:v>Time Sheet</x:v>
      </x:c>
      <x:c r="I334" s="32" t="n">
        <x:v>257</x:v>
      </x:c>
      <x:c r="J334" s="32" t="str"/>
    </x:row>
    <x:row r="335" ht="42" customHeight="1">
      <x:c r="A335" s="32" t="str">
        <x:v>Сартаева Гаухар Шыныбековна</x:v>
      </x:c>
      <x:c r="B335" s="32" t="str">
        <x:v>rootToLive</x:v>
      </x:c>
      <x:c r="C335" s="32" t="str">
        <x:v>source_only</x:v>
      </x:c>
      <x:c r="D335" s="32" t="str">
        <x:v>2025-09-26</x:v>
      </x:c>
      <x:c r="E335" s="32" t="n">
        <x:v>8</x:v>
      </x:c>
      <x:c r="F335" s="32" t="str"/>
      <x:c r="G335" s="32" t="str">
        <x:v>АО Экспортно-кредитное агенство Казахстана</x:v>
      </x:c>
      <x:c r="H335" s="32" t="str">
        <x:v>Time Sheet</x:v>
      </x:c>
      <x:c r="I335" s="32" t="n">
        <x:v>258</x:v>
      </x:c>
      <x:c r="J335" s="32" t="str"/>
    </x:row>
    <x:row r="336" ht="42" customHeight="1">
      <x:c r="A336" s="32" t="str">
        <x:v>Сартаева Гаухар Шыныбековна</x:v>
      </x:c>
      <x:c r="B336" s="32" t="str">
        <x:v>rootToLive</x:v>
      </x:c>
      <x:c r="C336" s="32" t="str">
        <x:v>source_only</x:v>
      </x:c>
      <x:c r="D336" s="32" t="str">
        <x:v>2025-09-29</x:v>
      </x:c>
      <x:c r="E336" s="32" t="n">
        <x:v>4</x:v>
      </x:c>
      <x:c r="F336" s="32" t="str"/>
      <x:c r="G336" s="32" t="str">
        <x:v>АО Экспортно-кредитное агенство Казахстана</x:v>
      </x:c>
      <x:c r="H336" s="32" t="str">
        <x:v>Time Sheet</x:v>
      </x:c>
      <x:c r="I336" s="32" t="n">
        <x:v>259</x:v>
      </x:c>
      <x:c r="J336" s="32" t="str"/>
    </x:row>
    <x:row r="337" ht="42" customHeight="1">
      <x:c r="A337" s="32" t="str">
        <x:v>Сартаева Гаухар Шыныбековна</x:v>
      </x:c>
      <x:c r="B337" s="32" t="str">
        <x:v>rootToLive</x:v>
      </x:c>
      <x:c r="C337" s="32" t="str">
        <x:v>source_only</x:v>
      </x:c>
      <x:c r="D337" s="32" t="str">
        <x:v>2025-09-29</x:v>
      </x:c>
      <x:c r="E337" s="32" t="n">
        <x:v>4</x:v>
      </x:c>
      <x:c r="F337" s="32" t="str"/>
      <x:c r="G337" s="32" t="str">
        <x:v>Учебные курсы для сотрудников</x:v>
      </x:c>
      <x:c r="H337" s="32" t="str">
        <x:v>Time Sheet</x:v>
      </x:c>
      <x:c r="I337" s="32" t="n">
        <x:v>260</x:v>
      </x:c>
      <x:c r="J337" s="32" t="str"/>
    </x:row>
    <x:row r="338" ht="42" customHeight="1">
      <x:c r="A338" s="32" t="str">
        <x:v>Сартаева Гаухар Шыныбековна</x:v>
      </x:c>
      <x:c r="B338" s="32" t="str">
        <x:v>rootToLive</x:v>
      </x:c>
      <x:c r="C338" s="32" t="str">
        <x:v>source_only</x:v>
      </x:c>
      <x:c r="D338" s="32" t="str">
        <x:v>2025-09-30</x:v>
      </x:c>
      <x:c r="E338" s="32" t="n">
        <x:v>4</x:v>
      </x:c>
      <x:c r="F338" s="32" t="str"/>
      <x:c r="G338" s="32" t="str">
        <x:v>АО Экспортно-кредитное агенство Казахстана</x:v>
      </x:c>
      <x:c r="H338" s="32" t="str">
        <x:v>Time Sheet</x:v>
      </x:c>
      <x:c r="I338" s="32" t="n">
        <x:v>261</x:v>
      </x:c>
      <x:c r="J338" s="32" t="str"/>
    </x:row>
    <x:row r="339" ht="42" customHeight="1">
      <x:c r="A339" s="32" t="str">
        <x:v>Сартаева Гаухар Шыныбековна</x:v>
      </x:c>
      <x:c r="B339" s="32" t="str">
        <x:v>rootToLive</x:v>
      </x:c>
      <x:c r="C339" s="32" t="str">
        <x:v>source_only</x:v>
      </x:c>
      <x:c r="D339" s="32" t="str">
        <x:v>2025-09-30</x:v>
      </x:c>
      <x:c r="E339" s="32" t="n">
        <x:v>4</x:v>
      </x:c>
      <x:c r="F339" s="32" t="str"/>
      <x:c r="G339" s="32" t="str">
        <x:v>Учебные курсы для сотрудников</x:v>
      </x:c>
      <x:c r="H339" s="32" t="str">
        <x:v>Time Sheet</x:v>
      </x:c>
      <x:c r="I339" s="32" t="n">
        <x:v>262</x:v>
      </x:c>
      <x:c r="J339" s="32" t="str"/>
    </x:row>
    <x:row r="340" ht="42" customHeight="1">
      <x:c r="A340" s="32" t="str">
        <x:v>Сартаева Гаухар Шыныбековна</x:v>
      </x:c>
      <x:c r="B340" s="32" t="str">
        <x:v>rootToLive</x:v>
      </x:c>
      <x:c r="C340" s="32" t="str">
        <x:v>source_only</x:v>
      </x:c>
      <x:c r="D340" s="32" t="str">
        <x:v>2025-10-01</x:v>
      </x:c>
      <x:c r="E340" s="32" t="n">
        <x:v>8</x:v>
      </x:c>
      <x:c r="F340" s="32" t="str"/>
      <x:c r="G340" s="32" t="str">
        <x:v>АО Экспортно-кредитное агенство Казахстана</x:v>
      </x:c>
      <x:c r="H340" s="32" t="str">
        <x:v>Time Sheet</x:v>
      </x:c>
      <x:c r="I340" s="32" t="n">
        <x:v>263</x:v>
      </x:c>
      <x:c r="J340" s="32" t="str"/>
    </x:row>
    <x:row r="341" ht="42" customHeight="1">
      <x:c r="A341" s="32" t="str">
        <x:v>Сартаева Гаухар Шыныбековна</x:v>
      </x:c>
      <x:c r="B341" s="32" t="str">
        <x:v>rootToLive</x:v>
      </x:c>
      <x:c r="C341" s="32" t="str">
        <x:v>source_only</x:v>
      </x:c>
      <x:c r="D341" s="32" t="str">
        <x:v>2025-10-02</x:v>
      </x:c>
      <x:c r="E341" s="32" t="n">
        <x:v>8</x:v>
      </x:c>
      <x:c r="F341" s="32" t="str"/>
      <x:c r="G341" s="32" t="str">
        <x:v>АО Экспортно-кредитное агенство Казахстана</x:v>
      </x:c>
      <x:c r="H341" s="32" t="str">
        <x:v>Time Sheet</x:v>
      </x:c>
      <x:c r="I341" s="32" t="n">
        <x:v>264</x:v>
      </x:c>
      <x:c r="J341" s="32" t="str"/>
    </x:row>
    <x:row r="342" ht="42" customHeight="1">
      <x:c r="A342" s="32" t="str">
        <x:v>Сартаева Гаухар Шыныбековна</x:v>
      </x:c>
      <x:c r="B342" s="32" t="str">
        <x:v>rootToLive</x:v>
      </x:c>
      <x:c r="C342" s="32" t="str">
        <x:v>source_only</x:v>
      </x:c>
      <x:c r="D342" s="32" t="str">
        <x:v>2025-10-03</x:v>
      </x:c>
      <x:c r="E342" s="32" t="n">
        <x:v>8</x:v>
      </x:c>
      <x:c r="F342" s="32" t="str"/>
      <x:c r="G342" s="32" t="str">
        <x:v>АО Экспортно-кредитное агенство Казахстана</x:v>
      </x:c>
      <x:c r="H342" s="32" t="str">
        <x:v>Time Sheet</x:v>
      </x:c>
      <x:c r="I342" s="32" t="n">
        <x:v>265</x:v>
      </x:c>
      <x:c r="J342" s="32" t="str"/>
    </x:row>
    <x:row r="343" ht="42" customHeight="1">
      <x:c r="A343" s="32" t="str">
        <x:v>Сартаева Гаухар Шыныбековна</x:v>
      </x:c>
      <x:c r="B343" s="32" t="str">
        <x:v>rootToLive</x:v>
      </x:c>
      <x:c r="C343" s="32" t="str">
        <x:v>source_only</x:v>
      </x:c>
      <x:c r="D343" s="32" t="str">
        <x:v>2025-10-06</x:v>
      </x:c>
      <x:c r="E343" s="32" t="n">
        <x:v>4</x:v>
      </x:c>
      <x:c r="F343" s="32" t="str"/>
      <x:c r="G343" s="32" t="str">
        <x:v>Учебные курсы для сотрудников</x:v>
      </x:c>
      <x:c r="H343" s="32" t="str">
        <x:v>Time Sheet</x:v>
      </x:c>
      <x:c r="I343" s="32" t="n">
        <x:v>267</x:v>
      </x:c>
      <x:c r="J343" s="32" t="str"/>
    </x:row>
    <x:row r="344" ht="42" customHeight="1">
      <x:c r="A344" s="32" t="str">
        <x:v>Сартаева Гаухар Шыныбековна</x:v>
      </x:c>
      <x:c r="B344" s="32" t="str">
        <x:v>rootToLive</x:v>
      </x:c>
      <x:c r="C344" s="32" t="str">
        <x:v>source_only</x:v>
      </x:c>
      <x:c r="D344" s="32" t="str">
        <x:v>2025-10-07</x:v>
      </x:c>
      <x:c r="E344" s="32" t="n">
        <x:v>4</x:v>
      </x:c>
      <x:c r="F344" s="32" t="str"/>
      <x:c r="G344" s="32" t="str">
        <x:v>Учебные курсы для сотрудников</x:v>
      </x:c>
      <x:c r="H344" s="32" t="str">
        <x:v>Time Sheet</x:v>
      </x:c>
      <x:c r="I344" s="32" t="n">
        <x:v>269</x:v>
      </x:c>
      <x:c r="J344" s="32" t="str"/>
    </x:row>
    <x:row r="345" ht="42" customHeight="1">
      <x:c r="A345" s="32" t="str">
        <x:v>Сартаева Гаухар Шыныбековна</x:v>
      </x:c>
      <x:c r="B345" s="32" t="str">
        <x:v>rootToLive</x:v>
      </x:c>
      <x:c r="C345" s="32" t="str">
        <x:v>source_only</x:v>
      </x:c>
      <x:c r="D345" s="32" t="str">
        <x:v>2025-11-17</x:v>
      </x:c>
      <x:c r="E345" s="32" t="n">
        <x:v>4</x:v>
      </x:c>
      <x:c r="F345" s="32" t="str"/>
      <x:c r="G345" s="32" t="str">
        <x:v>Учебные курсы для сотрудников</x:v>
      </x:c>
      <x:c r="H345" s="32" t="str">
        <x:v>Time Sheet</x:v>
      </x:c>
      <x:c r="I345" s="32" t="n">
        <x:v>298</x:v>
      </x:c>
      <x:c r="J345" s="32" t="str"/>
    </x:row>
    <x:row r="346" ht="42" customHeight="1">
      <x:c r="A346" s="32" t="str">
        <x:v>Сартаева Гаухар Шыныбековна</x:v>
      </x:c>
      <x:c r="B346" s="32" t="str">
        <x:v>rootToLive</x:v>
      </x:c>
      <x:c r="C346" s="32" t="str">
        <x:v>source_only</x:v>
      </x:c>
      <x:c r="D346" s="32" t="str">
        <x:v>2025-11-21</x:v>
      </x:c>
      <x:c r="E346" s="32" t="n">
        <x:v>8</x:v>
      </x:c>
      <x:c r="F346" s="32" t="str"/>
      <x:c r="G346" s="32" t="str">
        <x:v>без содержания</x:v>
      </x:c>
      <x:c r="H346" s="32" t="str">
        <x:v>Time Sheet</x:v>
      </x:c>
      <x:c r="I346" s="32" t="n">
        <x:v>302</x:v>
      </x:c>
      <x:c r="J346" s="32" t="str"/>
    </x:row>
    <x:row r="347" ht="42" customHeight="1">
      <x:c r="A347" s="32" t="str">
        <x:v>Сартаева Гаухар Шыныбековна</x:v>
      </x:c>
      <x:c r="B347" s="32" t="str">
        <x:v>rootToLive</x:v>
      </x:c>
      <x:c r="C347" s="32" t="str">
        <x:v>source_only</x:v>
      </x:c>
      <x:c r="D347" s="32" t="str">
        <x:v>2025-11-27</x:v>
      </x:c>
      <x:c r="E347" s="32" t="n">
        <x:v>4</x:v>
      </x:c>
      <x:c r="F347" s="32" t="str"/>
      <x:c r="G347" s="32" t="str">
        <x:v>Учебные курсы для сотрудников</x:v>
      </x:c>
      <x:c r="H347" s="32" t="str">
        <x:v>Time Sheet</x:v>
      </x:c>
      <x:c r="I347" s="32" t="n">
        <x:v>309</x:v>
      </x:c>
      <x:c r="J347" s="32" t="str"/>
    </x:row>
    <x:row r="348" ht="42" customHeight="1">
      <x:c r="A348" s="32" t="str">
        <x:v>Сартаева Гаухар Шыныбековна</x:v>
      </x:c>
      <x:c r="B348" s="32" t="str">
        <x:v>rootToLive</x:v>
      </x:c>
      <x:c r="C348" s="32" t="str">
        <x:v>source_only</x:v>
      </x:c>
      <x:c r="D348" s="32" t="str">
        <x:v>2025-12-25</x:v>
      </x:c>
      <x:c r="E348" s="32" t="n">
        <x:v>4</x:v>
      </x:c>
      <x:c r="F348" s="32" t="str"/>
      <x:c r="G348" s="32" t="str">
        <x:v>Учебные курсы для сотрудников</x:v>
      </x:c>
      <x:c r="H348" s="32" t="str">
        <x:v>Time Sheet</x:v>
      </x:c>
      <x:c r="I348" s="32" t="n">
        <x:v>330</x:v>
      </x:c>
      <x:c r="J348" s="32" t="str"/>
    </x:row>
    <x:row r="349" ht="42" customHeight="1">
      <x:c r="A349" s="32" t="str">
        <x:v>Сартаева Гаухар Шыныбековна</x:v>
      </x:c>
      <x:c r="B349" s="32" t="str">
        <x:v>rootToLive</x:v>
      </x:c>
      <x:c r="C349" s="32" t="str">
        <x:v>source_only</x:v>
      </x:c>
      <x:c r="D349" s="32" t="str">
        <x:v>2026-02-24</x:v>
      </x:c>
      <x:c r="E349" s="32" t="n">
        <x:v>3</x:v>
      </x:c>
      <x:c r="F349" s="32" t="str"/>
      <x:c r="G349" s="32" t="str">
        <x:v>Учебные курсы для колледжа</x:v>
      </x:c>
      <x:c r="H349" s="32" t="str">
        <x:v>Time Sheet</x:v>
      </x:c>
      <x:c r="I349" s="32" t="n">
        <x:v>376</x:v>
      </x:c>
      <x:c r="J349" s="32" t="str"/>
    </x:row>
    <x:row r="350" ht="42" customHeight="1">
      <x:c r="A350" s="32" t="str">
        <x:v>Сартаева Гаухар Шыныбековна</x:v>
      </x:c>
      <x:c r="B350" s="32" t="str">
        <x:v>rootToLive</x:v>
      </x:c>
      <x:c r="C350" s="32" t="str">
        <x:v>source_only</x:v>
      </x:c>
      <x:c r="D350" s="32" t="str">
        <x:v>2026-02-26</x:v>
      </x:c>
      <x:c r="E350" s="32" t="n">
        <x:v>3</x:v>
      </x:c>
      <x:c r="F350" s="32" t="str"/>
      <x:c r="G350" s="32" t="str">
        <x:v>Учебные курсы для колледжа</x:v>
      </x:c>
      <x:c r="H350" s="32" t="str">
        <x:v>Time Sheet</x:v>
      </x:c>
      <x:c r="I350" s="32" t="n">
        <x:v>379</x:v>
      </x:c>
      <x:c r="J350" s="32" t="str"/>
    </x:row>
    <x:row r="351" ht="42" customHeight="1">
      <x:c r="A351" s="32" t="str">
        <x:v>Сартаева Гаухар Шыныбековна</x:v>
      </x:c>
      <x:c r="B351" s="32" t="str">
        <x:v>rootToLive</x:v>
      </x:c>
      <x:c r="C351" s="32" t="str">
        <x:v>source_only</x:v>
      </x:c>
      <x:c r="D351" s="32" t="str">
        <x:v>2026-03-03</x:v>
      </x:c>
      <x:c r="E351" s="32" t="n">
        <x:v>3</x:v>
      </x:c>
      <x:c r="F351" s="32" t="str"/>
      <x:c r="G351" s="32" t="str">
        <x:v>Учебные курсы для колледжа</x:v>
      </x:c>
      <x:c r="H351" s="32" t="str">
        <x:v>Time Sheet</x:v>
      </x:c>
      <x:c r="I351" s="32" t="n">
        <x:v>385</x:v>
      </x:c>
      <x:c r="J351" s="32" t="str"/>
    </x:row>
    <x:row r="352" ht="42" customHeight="1">
      <x:c r="A352" s="32" t="str">
        <x:v>Сартаева Гаухар Шыныбековна</x:v>
      </x:c>
      <x:c r="B352" s="32" t="str">
        <x:v>rootToLive</x:v>
      </x:c>
      <x:c r="C352" s="32" t="str">
        <x:v>source_only</x:v>
      </x:c>
      <x:c r="D352" s="32" t="str">
        <x:v>2026-03-05</x:v>
      </x:c>
      <x:c r="E352" s="32" t="n">
        <x:v>3</x:v>
      </x:c>
      <x:c r="F352" s="32" t="str"/>
      <x:c r="G352" s="32" t="str">
        <x:v>Учебные курсы для колледжа</x:v>
      </x:c>
      <x:c r="H352" s="32" t="str">
        <x:v>Time Sheet</x:v>
      </x:c>
      <x:c r="I352" s="32" t="n">
        <x:v>389</x:v>
      </x:c>
      <x:c r="J352" s="32" t="str"/>
    </x:row>
    <x:row r="353" ht="42" customHeight="1">
      <x:c r="A353" s="32" t="str">
        <x:v>Сартаева Гаухар Шыныбековна</x:v>
      </x:c>
      <x:c r="B353" s="32" t="str">
        <x:v>rootToLive</x:v>
      </x:c>
      <x:c r="C353" s="32" t="str">
        <x:v>source_only</x:v>
      </x:c>
      <x:c r="D353" s="32" t="str">
        <x:v>2026-04-08</x:v>
      </x:c>
      <x:c r="E353" s="32" t="n">
        <x:v>1</x:v>
      </x:c>
      <x:c r="F353" s="32" t="str"/>
      <x:c r="G353" s="32" t="str">
        <x:v>проект: ОЮЛ АСГДЦА</x:v>
      </x:c>
      <x:c r="H353" s="32" t="str">
        <x:v>Time Sheet</x:v>
      </x:c>
      <x:c r="I353" s="32" t="n">
        <x:v>422</x:v>
      </x:c>
      <x:c r="J353" s="32" t="str"/>
    </x:row>
    <x:row r="354" ht="42" customHeight="1">
      <x:c r="A354" s="32" t="str">
        <x:v>Сартаева Гаухар Шыныбековна</x:v>
      </x:c>
      <x:c r="B354" s="32" t="str">
        <x:v>rootToLive</x:v>
      </x:c>
      <x:c r="C354" s="32" t="str">
        <x:v>source_only</x:v>
      </x:c>
      <x:c r="D354" s="32" t="str">
        <x:v>2026-05-05</x:v>
      </x:c>
      <x:c r="E354" s="32" t="n">
        <x:v>8</x:v>
      </x:c>
      <x:c r="F354" s="32" t="str"/>
      <x:c r="G354" s="32" t="str">
        <x:v>проект: ОЮЛ АСГДЦА</x:v>
      </x:c>
      <x:c r="H354" s="32" t="str">
        <x:v>Time Sheet</x:v>
      </x:c>
      <x:c r="I354" s="32" t="n">
        <x:v>440</x:v>
      </x:c>
      <x:c r="J354" s="32" t="str"/>
    </x:row>
    <x:row r="355" ht="42" customHeight="1">
      <x:c r="A355" s="32" t="str">
        <x:v>Сартаева Гаухар Шыныбековна</x:v>
      </x:c>
      <x:c r="B355" s="32" t="str">
        <x:v>rootToLive</x:v>
      </x:c>
      <x:c r="C355" s="32" t="str">
        <x:v>source_only</x:v>
      </x:c>
      <x:c r="D355" s="32" t="str">
        <x:v>2026-05-06</x:v>
      </x:c>
      <x:c r="E355" s="32" t="n">
        <x:v>8</x:v>
      </x:c>
      <x:c r="F355" s="32" t="str"/>
      <x:c r="G355" s="32" t="str">
        <x:v>проект: ОЮЛ АСГДЦА</x:v>
      </x:c>
      <x:c r="H355" s="32" t="str">
        <x:v>Time Sheet</x:v>
      </x:c>
      <x:c r="I355" s="32" t="n">
        <x:v>441</x:v>
      </x:c>
      <x:c r="J355" s="32" t="str"/>
    </x:row>
    <x:row r="356" ht="42" customHeight="1">
      <x:c r="A356" s="32" t="str">
        <x:v>Сартаева Гаухар Шыныбековна</x:v>
      </x:c>
      <x:c r="B356" s="32" t="str">
        <x:v>rootToLive</x:v>
      </x:c>
      <x:c r="C356" s="32" t="str">
        <x:v>source_only</x:v>
      </x:c>
      <x:c r="D356" s="32" t="str">
        <x:v>2026-05-08</x:v>
      </x:c>
      <x:c r="E356" s="32" t="n">
        <x:v>8</x:v>
      </x:c>
      <x:c r="F356" s="32" t="str"/>
      <x:c r="G356" s="32" t="str">
        <x:v>проект: ОЮЛ АСГДЦА</x:v>
      </x:c>
      <x:c r="H356" s="32" t="str">
        <x:v>Time Sheet</x:v>
      </x:c>
      <x:c r="I356" s="32" t="n">
        <x:v>442</x:v>
      </x:c>
      <x:c r="J356" s="32" t="str"/>
    </x:row>
    <x:row r="357" ht="42" customHeight="1">
      <x:c r="A357" s="32" t="str">
        <x:v>Сартаева Гаухар Шыныбековна</x:v>
      </x:c>
      <x:c r="B357" s="32" t="str">
        <x:v>rootToLive</x:v>
      </x:c>
      <x:c r="C357" s="32" t="str">
        <x:v>source_only</x:v>
      </x:c>
      <x:c r="D357" s="32" t="str">
        <x:v>2026-05-12</x:v>
      </x:c>
      <x:c r="E357" s="32" t="n">
        <x:v>8</x:v>
      </x:c>
      <x:c r="F357" s="32" t="str"/>
      <x:c r="G357" s="32" t="str">
        <x:v>проект: ОЮЛ АСГДЦА</x:v>
      </x:c>
      <x:c r="H357" s="32" t="str">
        <x:v>Time Sheet</x:v>
      </x:c>
      <x:c r="I357" s="32" t="n">
        <x:v>443</x:v>
      </x:c>
      <x:c r="J357" s="32" t="str"/>
    </x:row>
    <x:row r="358" ht="42" customHeight="1">
      <x:c r="A358" s="32" t="str">
        <x:v>Сартаева Гаухар Шыныбековна</x:v>
      </x:c>
      <x:c r="B358" s="32" t="str">
        <x:v>rootToLive</x:v>
      </x:c>
      <x:c r="C358" s="32" t="str">
        <x:v>source_only</x:v>
      </x:c>
      <x:c r="D358" s="32" t="str">
        <x:v>2026-05-20</x:v>
      </x:c>
      <x:c r="E358" s="32" t="n">
        <x:v>8</x:v>
      </x:c>
      <x:c r="F358" s="32" t="str"/>
      <x:c r="G358" s="32" t="str">
        <x:v>проект: ОЮЛ АСГДЦА перевод на англ.язык</x:v>
      </x:c>
      <x:c r="H358" s="32" t="str">
        <x:v>Time Sheet</x:v>
      </x:c>
      <x:c r="I358" s="32" t="n">
        <x:v>449</x:v>
      </x:c>
      <x:c r="J358" s="32" t="str"/>
    </x:row>
    <x:row r="359" ht="42" customHeight="1">
      <x:c r="A359" s="32" t="str">
        <x:v>Сартаева Гаухар Шыныбековна</x:v>
      </x:c>
      <x:c r="B359" s="32" t="str">
        <x:v>rootToLive</x:v>
      </x:c>
      <x:c r="C359" s="32" t="str">
        <x:v>live_only</x:v>
      </x:c>
      <x:c r="D359" s="32" t="str">
        <x:v>2026-02-26</x:v>
      </x:c>
      <x:c r="E359" s="32" t="n">
        <x:v>3</x:v>
      </x:c>
      <x:c r="F359" s="32" t="str">
        <x:v>Административная работа</x:v>
      </x:c>
      <x:c r="G359" s="32" t="str">
        <x:v>Учебные курсы для колледжа</x:v>
      </x:c>
      <x:c r="H359" s="32" t="str">
        <x:v>live batch v3</x:v>
      </x:c>
      <x:c r="I359" s="32" t="n">
        <x:v>51</x:v>
      </x:c>
      <x:c r="J359" s="32" t="str">
        <x:v>approved</x:v>
      </x:c>
    </x:row>
    <x:row r="360" ht="42" customHeight="1">
      <x:c r="A360" s="32" t="str">
        <x:v>Сартаева Гаухар Шыныбековна</x:v>
      </x:c>
      <x:c r="B360" s="32" t="str">
        <x:v>rootToLive</x:v>
      </x:c>
      <x:c r="C360" s="32" t="str">
        <x:v>live_only</x:v>
      </x:c>
      <x:c r="D360" s="32" t="str">
        <x:v>2026-02-24</x:v>
      </x:c>
      <x:c r="E360" s="32" t="n">
        <x:v>3</x:v>
      </x:c>
      <x:c r="F360" s="32" t="str">
        <x:v>Административная работа</x:v>
      </x:c>
      <x:c r="G360" s="32" t="str">
        <x:v>Учебные курсы для колледжа</x:v>
      </x:c>
      <x:c r="H360" s="32" t="str">
        <x:v>live batch v3</x:v>
      </x:c>
      <x:c r="I360" s="32" t="n">
        <x:v>93</x:v>
      </x:c>
      <x:c r="J360" s="32" t="str">
        <x:v>approved</x:v>
      </x:c>
    </x:row>
    <x:row r="361" ht="42" customHeight="1">
      <x:c r="A361" s="32" t="str">
        <x:v>Сартаева Гаухар Шыныбековна</x:v>
      </x:c>
      <x:c r="B361" s="32" t="str">
        <x:v>rootToLive</x:v>
      </x:c>
      <x:c r="C361" s="32" t="str">
        <x:v>live_only</x:v>
      </x:c>
      <x:c r="D361" s="32" t="str">
        <x:v>2026-03-03</x:v>
      </x:c>
      <x:c r="E361" s="32" t="n">
        <x:v>3</x:v>
      </x:c>
      <x:c r="F361" s="32" t="str">
        <x:v>Административная работа</x:v>
      </x:c>
      <x:c r="G361" s="32" t="str">
        <x:v>Учебные курсы для колледжа</x:v>
      </x:c>
      <x:c r="H361" s="32" t="str">
        <x:v>live batch v3</x:v>
      </x:c>
      <x:c r="I361" s="32" t="n">
        <x:v>101</x:v>
      </x:c>
      <x:c r="J361" s="32" t="str">
        <x:v>approved</x:v>
      </x:c>
    </x:row>
    <x:row r="362" ht="42" customHeight="1">
      <x:c r="A362" s="32" t="str">
        <x:v>Сартаева Гаухар Шыныбековна</x:v>
      </x:c>
      <x:c r="B362" s="32" t="str">
        <x:v>rootToLive</x:v>
      </x:c>
      <x:c r="C362" s="32" t="str">
        <x:v>live_only</x:v>
      </x:c>
      <x:c r="D362" s="32" t="str">
        <x:v>2026-03-05</x:v>
      </x:c>
      <x:c r="E362" s="32" t="n">
        <x:v>3</x:v>
      </x:c>
      <x:c r="F362" s="32" t="str">
        <x:v>Административная работа</x:v>
      </x:c>
      <x:c r="G362" s="32" t="str">
        <x:v>Учебные курсы для колледжа</x:v>
      </x:c>
      <x:c r="H362" s="32" t="str">
        <x:v>live batch v3</x:v>
      </x:c>
      <x:c r="I362" s="32" t="n">
        <x:v>105</x:v>
      </x:c>
      <x:c r="J362" s="32" t="str">
        <x:v>approved</x:v>
      </x:c>
    </x:row>
    <x:row r="363" ht="42" customHeight="1">
      <x:c r="A363" s="32" t="str">
        <x:v>Сартаева Гаухар Шыныбековна</x:v>
      </x:c>
      <x:c r="B363" s="32" t="str">
        <x:v>rootToLive</x:v>
      </x:c>
      <x:c r="C363" s="32" t="str">
        <x:v>live_only</x:v>
      </x:c>
      <x:c r="D363" s="32" t="str">
        <x:v>2026-04-08</x:v>
      </x:c>
      <x:c r="E363" s="32" t="n">
        <x:v>1</x:v>
      </x:c>
      <x:c r="F363" s="32" t="str">
        <x:v>ТОО «Проект-ЭнС»</x:v>
      </x:c>
      <x:c r="G363" s="32" t="str">
        <x:v>проект: ОЮЛ АСГДЦА</x:v>
      </x:c>
      <x:c r="H363" s="32" t="str">
        <x:v>live batch v3</x:v>
      </x:c>
      <x:c r="I363" s="32" t="n">
        <x:v>138</x:v>
      </x:c>
      <x:c r="J363" s="32" t="str">
        <x:v>approved</x:v>
      </x:c>
    </x:row>
    <x:row r="364" ht="42" customHeight="1">
      <x:c r="A364" s="32" t="str">
        <x:v>Сартаева Гаухар Шыныбековна</x:v>
      </x:c>
      <x:c r="B364" s="32" t="str">
        <x:v>rootToLive</x:v>
      </x:c>
      <x:c r="C364" s="32" t="str">
        <x:v>live_only</x:v>
      </x:c>
      <x:c r="D364" s="32" t="str">
        <x:v>2026-05-05</x:v>
      </x:c>
      <x:c r="E364" s="32" t="n">
        <x:v>8</x:v>
      </x:c>
      <x:c r="F364" s="32" t="str">
        <x:v>ТОО «Проект-ЭнС»</x:v>
      </x:c>
      <x:c r="G364" s="32" t="str">
        <x:v>проект: ОЮЛ АСГДЦА</x:v>
      </x:c>
      <x:c r="H364" s="32" t="str">
        <x:v>live batch v3</x:v>
      </x:c>
      <x:c r="I364" s="32" t="n">
        <x:v>156</x:v>
      </x:c>
      <x:c r="J364" s="32" t="str">
        <x:v>approved</x:v>
      </x:c>
    </x:row>
    <x:row r="365" ht="42" customHeight="1">
      <x:c r="A365" s="32" t="str">
        <x:v>Сартаева Гаухар Шыныбековна</x:v>
      </x:c>
      <x:c r="B365" s="32" t="str">
        <x:v>rootToLive</x:v>
      </x:c>
      <x:c r="C365" s="32" t="str">
        <x:v>live_only</x:v>
      </x:c>
      <x:c r="D365" s="32" t="str">
        <x:v>2026-05-06</x:v>
      </x:c>
      <x:c r="E365" s="32" t="n">
        <x:v>8</x:v>
      </x:c>
      <x:c r="F365" s="32" t="str">
        <x:v>ТОО «Проект-ЭнС»</x:v>
      </x:c>
      <x:c r="G365" s="32" t="str">
        <x:v>проект: ОЮЛ АСГДЦА</x:v>
      </x:c>
      <x:c r="H365" s="32" t="str">
        <x:v>live batch v3</x:v>
      </x:c>
      <x:c r="I365" s="32" t="n">
        <x:v>157</x:v>
      </x:c>
      <x:c r="J365" s="32" t="str">
        <x:v>approved</x:v>
      </x:c>
    </x:row>
    <x:row r="366" ht="42" customHeight="1">
      <x:c r="A366" s="32" t="str">
        <x:v>Сартаева Гаухар Шыныбековна</x:v>
      </x:c>
      <x:c r="B366" s="32" t="str">
        <x:v>rootToLive</x:v>
      </x:c>
      <x:c r="C366" s="32" t="str">
        <x:v>live_only</x:v>
      </x:c>
      <x:c r="D366" s="32" t="str">
        <x:v>2026-05-08</x:v>
      </x:c>
      <x:c r="E366" s="32" t="n">
        <x:v>8</x:v>
      </x:c>
      <x:c r="F366" s="32" t="str">
        <x:v>ТОО «Проект-ЭнС»</x:v>
      </x:c>
      <x:c r="G366" s="32" t="str">
        <x:v>проект: ОЮЛ АСГДЦА</x:v>
      </x:c>
      <x:c r="H366" s="32" t="str">
        <x:v>live batch v3</x:v>
      </x:c>
      <x:c r="I366" s="32" t="n">
        <x:v>158</x:v>
      </x:c>
      <x:c r="J366" s="32" t="str">
        <x:v>approved</x:v>
      </x:c>
    </x:row>
    <x:row r="367" ht="42" customHeight="1">
      <x:c r="A367" s="32" t="str">
        <x:v>Сартаева Гаухар Шыныбековна</x:v>
      </x:c>
      <x:c r="B367" s="32" t="str">
        <x:v>rootToLive</x:v>
      </x:c>
      <x:c r="C367" s="32" t="str">
        <x:v>live_only</x:v>
      </x:c>
      <x:c r="D367" s="32" t="str">
        <x:v>2026-05-12</x:v>
      </x:c>
      <x:c r="E367" s="32" t="n">
        <x:v>8</x:v>
      </x:c>
      <x:c r="F367" s="32" t="str">
        <x:v>ТОО «Проект-ЭнС»</x:v>
      </x:c>
      <x:c r="G367" s="32" t="str">
        <x:v>проект: ОЮЛ АСГДЦА</x:v>
      </x:c>
      <x:c r="H367" s="32" t="str">
        <x:v>live batch v3</x:v>
      </x:c>
      <x:c r="I367" s="32" t="n">
        <x:v>159</x:v>
      </x:c>
      <x:c r="J367" s="32" t="str">
        <x:v>approved</x:v>
      </x:c>
    </x:row>
    <x:row r="368" ht="42" customHeight="1">
      <x:c r="A368" s="32" t="str">
        <x:v>Сартаева Гаухар Шыныбековна</x:v>
      </x:c>
      <x:c r="B368" s="32" t="str">
        <x:v>rootToLive</x:v>
      </x:c>
      <x:c r="C368" s="32" t="str">
        <x:v>live_only</x:v>
      </x:c>
      <x:c r="D368" s="32" t="str">
        <x:v>2026-05-20</x:v>
      </x:c>
      <x:c r="E368" s="32" t="n">
        <x:v>8</x:v>
      </x:c>
      <x:c r="F368" s="32" t="str">
        <x:v>ТОО «Проект-ЭнС»</x:v>
      </x:c>
      <x:c r="G368" s="32" t="str">
        <x:v>проект: ОЮЛ АСГДЦА перевод на англ.язык</x:v>
      </x:c>
      <x:c r="H368" s="32" t="str">
        <x:v>live batch v3</x:v>
      </x:c>
      <x:c r="I368" s="32" t="n">
        <x:v>165</x:v>
      </x:c>
      <x:c r="J368" s="32" t="str">
        <x:v>approved</x:v>
      </x:c>
    </x:row>
    <x:row r="369" ht="42" customHeight="1">
      <x:c r="A369" s="32" t="str">
        <x:v>Сартаева Гаухар Шыныбековна</x:v>
      </x:c>
      <x:c r="B369" s="32" t="str">
        <x:v>rootToLive</x:v>
      </x:c>
      <x:c r="C369" s="32" t="str">
        <x:v>live_only</x:v>
      </x:c>
      <x:c r="D369" s="32" t="str">
        <x:v>2026-05-22</x:v>
      </x:c>
      <x:c r="E369" s="32" t="n">
        <x:v>8</x:v>
      </x:c>
      <x:c r="F369" s="32" t="str">
        <x:v>ТОО Вива Фарм Аудит ФО и НО за 2024 год: приступить к аудиту</x:v>
      </x:c>
      <x:c r="G369" s="32" t="str">
        <x:v>аудит за 2025г. Вива Фарм + МД Вива</x:v>
      </x:c>
      <x:c r="H369" s="32" t="str">
        <x:v>live batch v3</x:v>
      </x:c>
      <x:c r="I369" s="32" t="n">
        <x:v>167</x:v>
      </x:c>
      <x:c r="J369" s="32" t="str">
        <x:v>approved</x:v>
      </x:c>
    </x:row>
    <x:row r="370" ht="42" customHeight="1">
      <x:c r="A370" s="32" t="str">
        <x:v>Сартаева Гаухар Шыныбековна</x:v>
      </x:c>
      <x:c r="B370" s="32" t="str">
        <x:v>rootToLive</x:v>
      </x:c>
      <x:c r="C370" s="32" t="str">
        <x:v>live_only</x:v>
      </x:c>
      <x:c r="D370" s="32" t="str">
        <x:v>2026-05-25</x:v>
      </x:c>
      <x:c r="E370" s="32" t="n">
        <x:v>8</x:v>
      </x:c>
      <x:c r="F370" s="32" t="str">
        <x:v>ТОО Вива Фарм Аудит ФО и НО за 2024 год: приступить к аудиту</x:v>
      </x:c>
      <x:c r="G370" s="32" t="str">
        <x:v>аудит за 2025г. Вива Фарм</x:v>
      </x:c>
      <x:c r="H370" s="32" t="str">
        <x:v>live batch v3</x:v>
      </x:c>
      <x:c r="I370" s="32" t="n">
        <x:v>168</x:v>
      </x:c>
      <x:c r="J370" s="32" t="str">
        <x:v>approved</x:v>
      </x:c>
    </x:row>
    <x:row r="371" ht="42" customHeight="1">
      <x:c r="A371" s="32" t="str">
        <x:v>Сартаева Гаухар Шыныбековна</x:v>
      </x:c>
      <x:c r="B371" s="32" t="str">
        <x:v>rootToLive</x:v>
      </x:c>
      <x:c r="C371" s="32" t="str">
        <x:v>live_only</x:v>
      </x:c>
      <x:c r="D371" s="32" t="str">
        <x:v>2026-05-26</x:v>
      </x:c>
      <x:c r="E371" s="32" t="n">
        <x:v>8</x:v>
      </x:c>
      <x:c r="F371" s="32" t="str">
        <x:v>ТОО Вива Фарм Аудит ФО и НО за 2024 год: приступить к аудиту</x:v>
      </x:c>
      <x:c r="G371" s="32" t="str">
        <x:v>аудит за 2025г. Вива Фарм</x:v>
      </x:c>
      <x:c r="H371" s="32" t="str">
        <x:v>live batch v3</x:v>
      </x:c>
      <x:c r="I371" s="32" t="n">
        <x:v>169</x:v>
      </x:c>
      <x:c r="J371" s="32" t="str">
        <x:v>approved</x:v>
      </x:c>
    </x:row>
    <x:row r="372" ht="42" customHeight="1">
      <x:c r="A372" s="32" t="str">
        <x:v>Сартаева Гаухар Шыныбековна</x:v>
      </x:c>
      <x:c r="B372" s="32" t="str">
        <x:v>rootToLive</x:v>
      </x:c>
      <x:c r="C372" s="32" t="str">
        <x:v>live_only</x:v>
      </x:c>
      <x:c r="D372" s="32" t="str">
        <x:v>2026-05-28</x:v>
      </x:c>
      <x:c r="E372" s="32" t="n">
        <x:v>8</x:v>
      </x:c>
      <x:c r="F372" s="32" t="str">
        <x:v>ТОО Вива Фарм Аудит ФО и НО за 2024 год: приступить к аудиту</x:v>
      </x:c>
      <x:c r="G372" s="32" t="str">
        <x:v>аудит за 2025г. Вива Фарм</x:v>
      </x:c>
      <x:c r="H372" s="32" t="str">
        <x:v>live batch v3</x:v>
      </x:c>
      <x:c r="I372" s="32" t="n">
        <x:v>170</x:v>
      </x:c>
      <x:c r="J372" s="32" t="str">
        <x:v>approved</x:v>
      </x:c>
    </x:row>
    <x:row r="373" ht="42" customHeight="1">
      <x:c r="A373" s="32" t="str">
        <x:v>Сартаева Гаухар Шыныбековна</x:v>
      </x:c>
      <x:c r="B373" s="32" t="str">
        <x:v>rootToLive</x:v>
      </x:c>
      <x:c r="C373" s="32" t="str">
        <x:v>live_only</x:v>
      </x:c>
      <x:c r="D373" s="32" t="str">
        <x:v>2026-05-29</x:v>
      </x:c>
      <x:c r="E373" s="32" t="n">
        <x:v>8</x:v>
      </x:c>
      <x:c r="F373" s="32" t="str">
        <x:v>ТОО Вива Фарм Аудит ФО и НО за 2024 год: приступить к аудиту</x:v>
      </x:c>
      <x:c r="G373" s="32" t="str">
        <x:v>аудит за 2025г. Вива Фарм</x:v>
      </x:c>
      <x:c r="H373" s="32" t="str">
        <x:v>live batch v3</x:v>
      </x:c>
      <x:c r="I373" s="32" t="n">
        <x:v>171</x:v>
      </x:c>
      <x:c r="J373" s="32" t="str">
        <x:v>approved</x:v>
      </x:c>
    </x:row>
    <x:row r="374" ht="42" customHeight="1">
      <x:c r="A374" s="32" t="str">
        <x:v>Сартаева Гаухар Шыныбековна</x:v>
      </x:c>
      <x:c r="B374" s="32" t="str">
        <x:v>rootToLive</x:v>
      </x:c>
      <x:c r="C374" s="32" t="str">
        <x:v>live_only</x:v>
      </x:c>
      <x:c r="D374" s="32" t="str">
        <x:v>2025-07-08</x:v>
      </x:c>
      <x:c r="E374" s="32" t="n">
        <x:v>6</x:v>
      </x:c>
      <x:c r="F374" s="32" t="str">
        <x:v>АО «АО «ШалкияЦинк ЛТД» (аудит за 2025-2029гг)</x:v>
      </x:c>
      <x:c r="G374" s="32" t="str">
        <x:v>АО Шалкия Цинк</x:v>
      </x:c>
      <x:c r="H374" s="32" t="str">
        <x:v>live batch v3</x:v>
      </x:c>
      <x:c r="I374" s="32" t="n">
        <x:v>179</x:v>
      </x:c>
      <x:c r="J374" s="32" t="str">
        <x:v>approved</x:v>
      </x:c>
    </x:row>
    <x:row r="375" ht="42" customHeight="1">
      <x:c r="A375" s="32" t="str">
        <x:v>Сартаева Гаухар Шыныбековна</x:v>
      </x:c>
      <x:c r="B375" s="32" t="str">
        <x:v>rootToLive</x:v>
      </x:c>
      <x:c r="C375" s="32" t="str">
        <x:v>live_only</x:v>
      </x:c>
      <x:c r="D375" s="32" t="str">
        <x:v>2025-09-11</x:v>
      </x:c>
      <x:c r="E375" s="32" t="n">
        <x:v>8</x:v>
      </x:c>
      <x:c r="F375" s="32" t="str">
        <x:v>АО Экспортно-кредитное агенство Казахстана</x:v>
      </x:c>
      <x:c r="G375" s="32" t="str">
        <x:v>АО Экспортно-кредитное агенство Казахстана</x:v>
      </x:c>
      <x:c r="H375" s="32" t="str">
        <x:v>live batch v3</x:v>
      </x:c>
      <x:c r="I375" s="32" t="n">
        <x:v>180</x:v>
      </x:c>
      <x:c r="J375" s="32" t="str">
        <x:v>approved</x:v>
      </x:c>
    </x:row>
    <x:row r="376" ht="42" customHeight="1">
      <x:c r="A376" s="32" t="str">
        <x:v>Сартаева Гаухар Шыныбековна</x:v>
      </x:c>
      <x:c r="B376" s="32" t="str">
        <x:v>rootToLive</x:v>
      </x:c>
      <x:c r="C376" s="32" t="str">
        <x:v>live_only</x:v>
      </x:c>
      <x:c r="D376" s="32" t="str">
        <x:v>2025-09-29</x:v>
      </x:c>
      <x:c r="E376" s="32" t="n">
        <x:v>4</x:v>
      </x:c>
      <x:c r="F376" s="32" t="str">
        <x:v>АО Экспортно-кредитное агенство Казахстана</x:v>
      </x:c>
      <x:c r="G376" s="32" t="str">
        <x:v>АО Экспортно-кредитное агенство Казахстана</x:v>
      </x:c>
      <x:c r="H376" s="32" t="str">
        <x:v>live batch v3</x:v>
      </x:c>
      <x:c r="I376" s="32" t="n">
        <x:v>181</x:v>
      </x:c>
      <x:c r="J376" s="32" t="str">
        <x:v>approved</x:v>
      </x:c>
    </x:row>
    <x:row r="377" ht="42" customHeight="1">
      <x:c r="A377" s="32" t="str">
        <x:v>Сартаева Гаухар Шыныбековна</x:v>
      </x:c>
      <x:c r="B377" s="32" t="str">
        <x:v>rootToLive</x:v>
      </x:c>
      <x:c r="C377" s="32" t="str">
        <x:v>live_only</x:v>
      </x:c>
      <x:c r="D377" s="32" t="str">
        <x:v>2025-09-09</x:v>
      </x:c>
      <x:c r="E377" s="32" t="n">
        <x:v>4</x:v>
      </x:c>
      <x:c r="F377" s="32" t="str">
        <x:v>Административная работа</x:v>
      </x:c>
      <x:c r="G377" s="32" t="str">
        <x:v>Учебные курсы для сотрудников</x:v>
      </x:c>
      <x:c r="H377" s="32" t="str">
        <x:v>live batch v3</x:v>
      </x:c>
      <x:c r="I377" s="32" t="n">
        <x:v>183</x:v>
      </x:c>
      <x:c r="J377" s="32" t="str">
        <x:v>approved</x:v>
      </x:c>
    </x:row>
    <x:row r="378" ht="42" customHeight="1">
      <x:c r="A378" s="32" t="str">
        <x:v>Сартаева Гаухар Шыныбековна</x:v>
      </x:c>
      <x:c r="B378" s="32" t="str">
        <x:v>rootToLive</x:v>
      </x:c>
      <x:c r="C378" s="32" t="str">
        <x:v>live_only</x:v>
      </x:c>
      <x:c r="D378" s="32" t="str">
        <x:v>2025-09-18</x:v>
      </x:c>
      <x:c r="E378" s="32" t="n">
        <x:v>4</x:v>
      </x:c>
      <x:c r="F378" s="32" t="str">
        <x:v>АО Экспортно-кредитное агенство Казахстана</x:v>
      </x:c>
      <x:c r="G378" s="32" t="str">
        <x:v>АО Экспортно-кредитное агенство Казахстана</x:v>
      </x:c>
      <x:c r="H378" s="32" t="str">
        <x:v>live batch v3</x:v>
      </x:c>
      <x:c r="I378" s="32" t="n">
        <x:v>187</x:v>
      </x:c>
      <x:c r="J378" s="32" t="str">
        <x:v>approved</x:v>
      </x:c>
    </x:row>
    <x:row r="379" ht="42" customHeight="1">
      <x:c r="A379" s="32" t="str">
        <x:v>Сартаева Гаухар Шыныбековна</x:v>
      </x:c>
      <x:c r="B379" s="32" t="str">
        <x:v>rootToLive</x:v>
      </x:c>
      <x:c r="C379" s="32" t="str">
        <x:v>live_only</x:v>
      </x:c>
      <x:c r="D379" s="32" t="str">
        <x:v>2025-08-25</x:v>
      </x:c>
      <x:c r="E379" s="32" t="n">
        <x:v>8</x:v>
      </x:c>
      <x:c r="F379" s="32" t="str">
        <x:v>АО Экспортно-кредитное агенство Казахстана</x:v>
      </x:c>
      <x:c r="G379" s="32" t="str">
        <x:v>АО Экспортно-кредитное агенство Казахстана</x:v>
      </x:c>
      <x:c r="H379" s="32" t="str">
        <x:v>live batch v3</x:v>
      </x:c>
      <x:c r="I379" s="32" t="n">
        <x:v>258</x:v>
      </x:c>
      <x:c r="J379" s="32" t="str">
        <x:v>approved</x:v>
      </x:c>
    </x:row>
    <x:row r="380" ht="42" customHeight="1">
      <x:c r="A380" s="32" t="str">
        <x:v>Сартаева Гаухар Шыныбековна</x:v>
      </x:c>
      <x:c r="B380" s="32" t="str">
        <x:v>rootToLive</x:v>
      </x:c>
      <x:c r="C380" s="32" t="str">
        <x:v>live_only</x:v>
      </x:c>
      <x:c r="D380" s="32" t="str">
        <x:v>2025-08-20</x:v>
      </x:c>
      <x:c r="E380" s="32" t="n">
        <x:v>4</x:v>
      </x:c>
      <x:c r="F380" s="32" t="str">
        <x:v>Административная работа</x:v>
      </x:c>
      <x:c r="G380" s="32" t="str">
        <x:v>Учебные курсы для сотрудников</x:v>
      </x:c>
      <x:c r="H380" s="32" t="str">
        <x:v>live batch v3</x:v>
      </x:c>
      <x:c r="I380" s="32" t="n">
        <x:v>260</x:v>
      </x:c>
      <x:c r="J380" s="32" t="str">
        <x:v>approved</x:v>
      </x:c>
    </x:row>
    <x:row r="381" ht="42" customHeight="1">
      <x:c r="A381" s="32" t="str">
        <x:v>Сартаева Гаухар Шыныбековна</x:v>
      </x:c>
      <x:c r="B381" s="32" t="str">
        <x:v>rootToLive</x:v>
      </x:c>
      <x:c r="C381" s="32" t="str">
        <x:v>live_only</x:v>
      </x:c>
      <x:c r="D381" s="32" t="str">
        <x:v>2025-08-22</x:v>
      </x:c>
      <x:c r="E381" s="32" t="n">
        <x:v>8</x:v>
      </x:c>
      <x:c r="F381" s="32" t="str">
        <x:v>АО Экспортно-кредитное агенство Казахстана</x:v>
      </x:c>
      <x:c r="G381" s="32" t="str">
        <x:v>АО Экспортно-кредитное агенство Казахстана</x:v>
      </x:c>
      <x:c r="H381" s="32" t="str">
        <x:v>live batch v3</x:v>
      </x:c>
      <x:c r="I381" s="32" t="n">
        <x:v>262</x:v>
      </x:c>
      <x:c r="J381" s="32" t="str">
        <x:v>approved</x:v>
      </x:c>
    </x:row>
    <x:row r="382" ht="42" customHeight="1">
      <x:c r="A382" s="32" t="str">
        <x:v>Сартаева Гаухар Шыныбековна</x:v>
      </x:c>
      <x:c r="B382" s="32" t="str">
        <x:v>rootToLive</x:v>
      </x:c>
      <x:c r="C382" s="32" t="str">
        <x:v>live_only</x:v>
      </x:c>
      <x:c r="D382" s="32" t="str">
        <x:v>2025-08-26</x:v>
      </x:c>
      <x:c r="E382" s="32" t="n">
        <x:v>4</x:v>
      </x:c>
      <x:c r="F382" s="32" t="str">
        <x:v>АО Экспортно-кредитное агенство Казахстана</x:v>
      </x:c>
      <x:c r="G382" s="32" t="str">
        <x:v>АО Экспортно-кредитное агенство Казахстана + Жалгизтобемунай (исправление тех.ошибки)</x:v>
      </x:c>
      <x:c r="H382" s="32" t="str">
        <x:v>live batch v3</x:v>
      </x:c>
      <x:c r="I382" s="32" t="n">
        <x:v>268</x:v>
      </x:c>
      <x:c r="J382" s="32" t="str">
        <x:v>approved</x:v>
      </x:c>
    </x:row>
    <x:row r="383" ht="42" customHeight="1">
      <x:c r="A383" s="32" t="str">
        <x:v>Сартаева Гаухар Шыныбековна</x:v>
      </x:c>
      <x:c r="B383" s="32" t="str">
        <x:v>rootToLive</x:v>
      </x:c>
      <x:c r="C383" s="32" t="str">
        <x:v>live_only</x:v>
      </x:c>
      <x:c r="D383" s="32" t="str">
        <x:v>2025-07-03</x:v>
      </x:c>
      <x:c r="E383" s="32" t="n">
        <x:v>8</x:v>
      </x:c>
      <x:c r="F383" s="32" t="str">
        <x:v>АО «АО «ШалкияЦинк ЛТД» (аудит за 2025-2029гг)</x:v>
      </x:c>
      <x:c r="G383" s="32" t="str">
        <x:v>АО Шалкия Цинк</x:v>
      </x:c>
      <x:c r="H383" s="32" t="str">
        <x:v>live batch v3</x:v>
      </x:c>
      <x:c r="I383" s="32" t="n">
        <x:v>274</x:v>
      </x:c>
      <x:c r="J383" s="32" t="str">
        <x:v>approved</x:v>
      </x:c>
    </x:row>
    <x:row r="384" ht="42" customHeight="1">
      <x:c r="A384" s="32" t="str">
        <x:v>Сартаева Гаухар Шыныбековна</x:v>
      </x:c>
      <x:c r="B384" s="32" t="str">
        <x:v>rootToLive</x:v>
      </x:c>
      <x:c r="C384" s="32" t="str">
        <x:v>live_only</x:v>
      </x:c>
      <x:c r="D384" s="32" t="str">
        <x:v>2025-08-01</x:v>
      </x:c>
      <x:c r="E384" s="32" t="n">
        <x:v>8</x:v>
      </x:c>
      <x:c r="F384" s="32" t="str">
        <x:v>АО «АО «ШалкияЦинк ЛТД» (аудит за 2025-2029гг)</x:v>
      </x:c>
      <x:c r="G384" s="32" t="str">
        <x:v>АО Шалкия Цинк раскрытие для консолидаторов</x:v>
      </x:c>
      <x:c r="H384" s="32" t="str">
        <x:v>live batch v3</x:v>
      </x:c>
      <x:c r="I384" s="32" t="n">
        <x:v>276</x:v>
      </x:c>
      <x:c r="J384" s="32" t="str">
        <x:v>approved</x:v>
      </x:c>
    </x:row>
    <x:row r="385" ht="42" customHeight="1">
      <x:c r="A385" s="32" t="str">
        <x:v>Сартаева Гаухар Шыныбековна</x:v>
      </x:c>
      <x:c r="B385" s="32" t="str">
        <x:v>rootToLive</x:v>
      </x:c>
      <x:c r="C385" s="32" t="str">
        <x:v>live_only</x:v>
      </x:c>
      <x:c r="D385" s="32" t="str">
        <x:v>2025-07-02</x:v>
      </x:c>
      <x:c r="E385" s="32" t="n">
        <x:v>8</x:v>
      </x:c>
      <x:c r="F385" s="32" t="str">
        <x:v>АО «АО «ШалкияЦинк ЛТД» (аудит за 2025-2029гг)</x:v>
      </x:c>
      <x:c r="G385" s="32" t="str">
        <x:v>АО Шалкия Цинк</x:v>
      </x:c>
      <x:c r="H385" s="32" t="str">
        <x:v>live batch v3</x:v>
      </x:c>
      <x:c r="I385" s="32" t="n">
        <x:v>282</x:v>
      </x:c>
      <x:c r="J385" s="32" t="str">
        <x:v>approved</x:v>
      </x:c>
    </x:row>
    <x:row r="386" ht="42" customHeight="1">
      <x:c r="A386" s="32" t="str">
        <x:v>Сартаева Гаухар Шыныбековна</x:v>
      </x:c>
      <x:c r="B386" s="32" t="str">
        <x:v>rootToLive</x:v>
      </x:c>
      <x:c r="C386" s="32" t="str">
        <x:v>live_only</x:v>
      </x:c>
      <x:c r="D386" s="32" t="str">
        <x:v>2025-07-29</x:v>
      </x:c>
      <x:c r="E386" s="32" t="n">
        <x:v>8</x:v>
      </x:c>
      <x:c r="F386" s="32" t="str">
        <x:v>АО «АО «ШалкияЦинк ЛТД» (аудит за 2025-2029гг)</x:v>
      </x:c>
      <x:c r="G386" s="32" t="str">
        <x:v>АО Шалкия Цинк раскрытие для консолидаторов</x:v>
      </x:c>
      <x:c r="H386" s="32" t="str">
        <x:v>live batch v3</x:v>
      </x:c>
      <x:c r="I386" s="32" t="n">
        <x:v>293</x:v>
      </x:c>
      <x:c r="J386" s="32" t="str">
        <x:v>approved</x:v>
      </x:c>
    </x:row>
    <x:row r="387" ht="42" customHeight="1">
      <x:c r="A387" s="32" t="str">
        <x:v>Сартаева Гаухар Шыныбековна</x:v>
      </x:c>
      <x:c r="B387" s="32" t="str">
        <x:v>rootToLive</x:v>
      </x:c>
      <x:c r="C387" s="32" t="str">
        <x:v>live_only</x:v>
      </x:c>
      <x:c r="D387" s="32" t="str">
        <x:v>2025-08-21</x:v>
      </x:c>
      <x:c r="E387" s="32" t="n">
        <x:v>8</x:v>
      </x:c>
      <x:c r="F387" s="32" t="str">
        <x:v>АО Экспортно-кредитное агенство Казахстана</x:v>
      </x:c>
      <x:c r="G387" s="32" t="str">
        <x:v>АО Экспортно-кредитное агенство Казахстана</x:v>
      </x:c>
      <x:c r="H387" s="32" t="str">
        <x:v>live batch v3</x:v>
      </x:c>
      <x:c r="I387" s="32" t="n">
        <x:v>295</x:v>
      </x:c>
      <x:c r="J387" s="32" t="str">
        <x:v>approved</x:v>
      </x:c>
    </x:row>
    <x:row r="388" ht="42" customHeight="1">
      <x:c r="A388" s="32" t="str">
        <x:v>Сартаева Гаухар Шыныбековна</x:v>
      </x:c>
      <x:c r="B388" s="32" t="str">
        <x:v>rootToLive</x:v>
      </x:c>
      <x:c r="C388" s="32" t="str">
        <x:v>live_only</x:v>
      </x:c>
      <x:c r="D388" s="32" t="str">
        <x:v>2025-07-08</x:v>
      </x:c>
      <x:c r="E388" s="32" t="n">
        <x:v>2</x:v>
      </x:c>
      <x:c r="F388" s="32" t="str">
        <x:v>АО «АО «ШалкияЦинк ЛТД» (аудит за 2025-2029гг)</x:v>
      </x:c>
      <x:c r="G388" s="32" t="str">
        <x:v>Грант Торонтон касательно АО Шалкия Цинк</x:v>
      </x:c>
      <x:c r="H388" s="32" t="str">
        <x:v>live batch v3</x:v>
      </x:c>
      <x:c r="I388" s="32" t="n">
        <x:v>308</x:v>
      </x:c>
      <x:c r="J388" s="32" t="str">
        <x:v>approved</x:v>
      </x:c>
    </x:row>
    <x:row r="389" ht="42" customHeight="1">
      <x:c r="A389" s="32" t="str">
        <x:v>Сартаева Гаухар Шыныбековна</x:v>
      </x:c>
      <x:c r="B389" s="32" t="str">
        <x:v>rootToLive</x:v>
      </x:c>
      <x:c r="C389" s="32" t="str">
        <x:v>live_only</x:v>
      </x:c>
      <x:c r="D389" s="32" t="str">
        <x:v>2025-07-04</x:v>
      </x:c>
      <x:c r="E389" s="32" t="n">
        <x:v>5</x:v>
      </x:c>
      <x:c r="F389" s="32" t="str">
        <x:v>АО «АО «ШалкияЦинк ЛТД» (аудит за 2025-2029гг)</x:v>
      </x:c>
      <x:c r="G389" s="32" t="str">
        <x:v>АО Шалкия Цинк</x:v>
      </x:c>
      <x:c r="H389" s="32" t="str">
        <x:v>live batch v3</x:v>
      </x:c>
      <x:c r="I389" s="32" t="n">
        <x:v>314</x:v>
      </x:c>
      <x:c r="J389" s="32" t="str">
        <x:v>approved</x:v>
      </x:c>
    </x:row>
    <x:row r="390" ht="42" customHeight="1">
      <x:c r="A390" s="32" t="str">
        <x:v>Сартаева Гаухар Шыныбековна</x:v>
      </x:c>
      <x:c r="B390" s="32" t="str">
        <x:v>rootToLive</x:v>
      </x:c>
      <x:c r="C390" s="32" t="str">
        <x:v>live_only</x:v>
      </x:c>
      <x:c r="D390" s="32" t="str">
        <x:v>2025-09-22</x:v>
      </x:c>
      <x:c r="E390" s="32" t="n">
        <x:v>8</x:v>
      </x:c>
      <x:c r="F390" s="32" t="str">
        <x:v>Административная работа</x:v>
      </x:c>
      <x:c r="G390" s="32" t="str">
        <x:v>ТОО ОШЖ</x:v>
      </x:c>
      <x:c r="H390" s="32" t="str">
        <x:v>live batch v3</x:v>
      </x:c>
      <x:c r="I390" s="32" t="n">
        <x:v>323</x:v>
      </x:c>
      <x:c r="J390" s="32" t="str">
        <x:v>approved</x:v>
      </x:c>
    </x:row>
    <x:row r="391" ht="42" customHeight="1">
      <x:c r="A391" s="32" t="str">
        <x:v>Сартаева Гаухар Шыныбековна</x:v>
      </x:c>
      <x:c r="B391" s="32" t="str">
        <x:v>rootToLive</x:v>
      </x:c>
      <x:c r="C391" s="32" t="str">
        <x:v>live_only</x:v>
      </x:c>
      <x:c r="D391" s="32" t="str">
        <x:v>2025-10-03</x:v>
      </x:c>
      <x:c r="E391" s="32" t="n">
        <x:v>8</x:v>
      </x:c>
      <x:c r="F391" s="32" t="str">
        <x:v>АО Экспортно-кредитное агенство Казахстана</x:v>
      </x:c>
      <x:c r="G391" s="32" t="str">
        <x:v>АО Экспортно-кредитное агенство Казахстана</x:v>
      </x:c>
      <x:c r="H391" s="32" t="str">
        <x:v>live batch v3</x:v>
      </x:c>
      <x:c r="I391" s="32" t="n">
        <x:v>324</x:v>
      </x:c>
      <x:c r="J391" s="32" t="str">
        <x:v>approved</x:v>
      </x:c>
    </x:row>
    <x:row r="392" ht="42" customHeight="1">
      <x:c r="A392" s="32" t="str">
        <x:v>Сартаева Гаухар Шыныбековна</x:v>
      </x:c>
      <x:c r="B392" s="32" t="str">
        <x:v>rootToLive</x:v>
      </x:c>
      <x:c r="C392" s="32" t="str">
        <x:v>live_only</x:v>
      </x:c>
      <x:c r="D392" s="32" t="str">
        <x:v>2025-09-12</x:v>
      </x:c>
      <x:c r="E392" s="32" t="n">
        <x:v>8</x:v>
      </x:c>
      <x:c r="F392" s="32" t="str">
        <x:v>АО Экспортно-кредитное агенство Казахстана</x:v>
      </x:c>
      <x:c r="G392" s="32" t="str">
        <x:v>АО Экспортно-кредитное агенство Казахстана</x:v>
      </x:c>
      <x:c r="H392" s="32" t="str">
        <x:v>live batch v3</x:v>
      </x:c>
      <x:c r="I392" s="32" t="n">
        <x:v>326</x:v>
      </x:c>
      <x:c r="J392" s="32" t="str">
        <x:v>approved</x:v>
      </x:c>
    </x:row>
    <x:row r="393" ht="42" customHeight="1">
      <x:c r="A393" s="32" t="str">
        <x:v>Сартаева Гаухар Шыныбековна</x:v>
      </x:c>
      <x:c r="B393" s="32" t="str">
        <x:v>rootToLive</x:v>
      </x:c>
      <x:c r="C393" s="32" t="str">
        <x:v>live_only</x:v>
      </x:c>
      <x:c r="D393" s="32" t="str">
        <x:v>2025-09-18</x:v>
      </x:c>
      <x:c r="E393" s="32" t="n">
        <x:v>4</x:v>
      </x:c>
      <x:c r="F393" s="32" t="str">
        <x:v>Административная работа</x:v>
      </x:c>
      <x:c r="G393" s="32" t="str">
        <x:v>Учебные курсы для сотрудников</x:v>
      </x:c>
      <x:c r="H393" s="32" t="str">
        <x:v>live batch v3</x:v>
      </x:c>
      <x:c r="I393" s="32" t="n">
        <x:v>327</x:v>
      </x:c>
      <x:c r="J393" s="32" t="str">
        <x:v>approved</x:v>
      </x:c>
    </x:row>
    <x:row r="394" ht="42" customHeight="1">
      <x:c r="A394" s="32" t="str">
        <x:v>Сартаева Гаухар Шыныбековна</x:v>
      </x:c>
      <x:c r="B394" s="32" t="str">
        <x:v>rootToLive</x:v>
      </x:c>
      <x:c r="C394" s="32" t="str">
        <x:v>live_only</x:v>
      </x:c>
      <x:c r="D394" s="32" t="str">
        <x:v>2025-09-19</x:v>
      </x:c>
      <x:c r="E394" s="32" t="n">
        <x:v>8</x:v>
      </x:c>
      <x:c r="F394" s="32" t="str">
        <x:v>Административная работа</x:v>
      </x:c>
      <x:c r="G394" s="32" t="str">
        <x:v>ТОО ОШЖ</x:v>
      </x:c>
      <x:c r="H394" s="32" t="str">
        <x:v>live batch v3</x:v>
      </x:c>
      <x:c r="I394" s="32" t="n">
        <x:v>331</x:v>
      </x:c>
      <x:c r="J394" s="32" t="str">
        <x:v>approved</x:v>
      </x:c>
    </x:row>
    <x:row r="395" ht="42" customHeight="1">
      <x:c r="A395" s="32" t="str">
        <x:v>Сартаева Гаухар Шыныбековна</x:v>
      </x:c>
      <x:c r="B395" s="32" t="str">
        <x:v>rootToLive</x:v>
      </x:c>
      <x:c r="C395" s="32" t="str">
        <x:v>live_only</x:v>
      </x:c>
      <x:c r="D395" s="32" t="str">
        <x:v>2025-09-10</x:v>
      </x:c>
      <x:c r="E395" s="32" t="n">
        <x:v>6</x:v>
      </x:c>
      <x:c r="F395" s="32" t="str">
        <x:v>Административная работа</x:v>
      </x:c>
      <x:c r="G395" s="32" t="str">
        <x:v>Учебные курсы для сотрудников</x:v>
      </x:c>
      <x:c r="H395" s="32" t="str">
        <x:v>live batch v3</x:v>
      </x:c>
      <x:c r="I395" s="32" t="n">
        <x:v>332</x:v>
      </x:c>
      <x:c r="J395" s="32" t="str">
        <x:v>approved</x:v>
      </x:c>
    </x:row>
    <x:row r="396" ht="42" customHeight="1">
      <x:c r="A396" s="32" t="str">
        <x:v>Сартаева Гаухар Шыныбековна</x:v>
      </x:c>
      <x:c r="B396" s="32" t="str">
        <x:v>rootToLive</x:v>
      </x:c>
      <x:c r="C396" s="32" t="str">
        <x:v>live_only</x:v>
      </x:c>
      <x:c r="D396" s="32" t="str">
        <x:v>2025-11-17</x:v>
      </x:c>
      <x:c r="E396" s="32" t="n">
        <x:v>4</x:v>
      </x:c>
      <x:c r="F396" s="32" t="str">
        <x:v>Административная работа</x:v>
      </x:c>
      <x:c r="G396" s="32" t="str">
        <x:v>Учебные курсы для сотрудников</x:v>
      </x:c>
      <x:c r="H396" s="32" t="str">
        <x:v>live batch v3</x:v>
      </x:c>
      <x:c r="I396" s="32" t="n">
        <x:v>337</x:v>
      </x:c>
      <x:c r="J396" s="32" t="str">
        <x:v>approved</x:v>
      </x:c>
    </x:row>
    <x:row r="397" ht="42" customHeight="1">
      <x:c r="A397" s="32" t="str">
        <x:v>Сартаева Гаухар Шыныбековна</x:v>
      </x:c>
      <x:c r="B397" s="32" t="str">
        <x:v>rootToLive</x:v>
      </x:c>
      <x:c r="C397" s="32" t="str">
        <x:v>live_only</x:v>
      </x:c>
      <x:c r="D397" s="32" t="str">
        <x:v>2025-09-23</x:v>
      </x:c>
      <x:c r="E397" s="32" t="n">
        <x:v>8</x:v>
      </x:c>
      <x:c r="F397" s="32" t="str">
        <x:v>Административная работа</x:v>
      </x:c>
      <x:c r="G397" s="32" t="str">
        <x:v>ТОО ОШЖ</x:v>
      </x:c>
      <x:c r="H397" s="32" t="str">
        <x:v>live batch v3</x:v>
      </x:c>
      <x:c r="I397" s="32" t="n">
        <x:v>338</x:v>
      </x:c>
      <x:c r="J397" s="32" t="str">
        <x:v>approved</x:v>
      </x:c>
    </x:row>
    <x:row r="398" ht="42" customHeight="1">
      <x:c r="A398" s="32" t="str">
        <x:v>Сартаева Гаухар Шыныбековна</x:v>
      </x:c>
      <x:c r="B398" s="32" t="str">
        <x:v>rootToLive</x:v>
      </x:c>
      <x:c r="C398" s="32" t="str">
        <x:v>live_only</x:v>
      </x:c>
      <x:c r="D398" s="32" t="str">
        <x:v>2025-10-07</x:v>
      </x:c>
      <x:c r="E398" s="32" t="n">
        <x:v>4</x:v>
      </x:c>
      <x:c r="F398" s="32" t="str">
        <x:v>Административная работа</x:v>
      </x:c>
      <x:c r="G398" s="32" t="str">
        <x:v>Учебные курсы для сотрудников</x:v>
      </x:c>
      <x:c r="H398" s="32" t="str">
        <x:v>live batch v3</x:v>
      </x:c>
      <x:c r="I398" s="32" t="n">
        <x:v>343</x:v>
      </x:c>
      <x:c r="J398" s="32" t="str">
        <x:v>approved</x:v>
      </x:c>
    </x:row>
    <x:row r="399" ht="42" customHeight="1">
      <x:c r="A399" s="32" t="str">
        <x:v>Сартаева Гаухар Шыныбековна</x:v>
      </x:c>
      <x:c r="B399" s="32" t="str">
        <x:v>rootToLive</x:v>
      </x:c>
      <x:c r="C399" s="32" t="str">
        <x:v>live_only</x:v>
      </x:c>
      <x:c r="D399" s="32" t="str">
        <x:v>2025-09-02</x:v>
      </x:c>
      <x:c r="E399" s="32" t="n">
        <x:v>4</x:v>
      </x:c>
      <x:c r="F399" s="32" t="str">
        <x:v>Административная работа</x:v>
      </x:c>
      <x:c r="G399" s="32" t="str">
        <x:v>Учебные курсы для сотрудников</x:v>
      </x:c>
      <x:c r="H399" s="32" t="str">
        <x:v>live batch v3</x:v>
      </x:c>
      <x:c r="I399" s="32" t="n">
        <x:v>344</x:v>
      </x:c>
      <x:c r="J399" s="32" t="str">
        <x:v>approved</x:v>
      </x:c>
    </x:row>
    <x:row r="400" ht="42" customHeight="1">
      <x:c r="A400" s="32" t="str">
        <x:v>Сартаева Гаухар Шыныбековна</x:v>
      </x:c>
      <x:c r="B400" s="32" t="str">
        <x:v>rootToLive</x:v>
      </x:c>
      <x:c r="C400" s="32" t="str">
        <x:v>live_only</x:v>
      </x:c>
      <x:c r="D400" s="32" t="str">
        <x:v>2025-09-26</x:v>
      </x:c>
      <x:c r="E400" s="32" t="n">
        <x:v>8</x:v>
      </x:c>
      <x:c r="F400" s="32" t="str">
        <x:v>АО Экспортно-кредитное агенство Казахстана</x:v>
      </x:c>
      <x:c r="G400" s="32" t="str">
        <x:v>АО Экспортно-кредитное агенство Казахстана</x:v>
      </x:c>
      <x:c r="H400" s="32" t="str">
        <x:v>live batch v3</x:v>
      </x:c>
      <x:c r="I400" s="32" t="n">
        <x:v>346</x:v>
      </x:c>
      <x:c r="J400" s="32" t="str">
        <x:v>approved</x:v>
      </x:c>
    </x:row>
    <x:row r="401" ht="42" customHeight="1">
      <x:c r="A401" s="32" t="str">
        <x:v>Сартаева Гаухар Шыныбековна</x:v>
      </x:c>
      <x:c r="B401" s="32" t="str">
        <x:v>rootToLive</x:v>
      </x:c>
      <x:c r="C401" s="32" t="str">
        <x:v>live_only</x:v>
      </x:c>
      <x:c r="D401" s="32" t="str">
        <x:v>2025-09-30</x:v>
      </x:c>
      <x:c r="E401" s="32" t="n">
        <x:v>4</x:v>
      </x:c>
      <x:c r="F401" s="32" t="str">
        <x:v>АО Экспортно-кредитное агенство Казахстана</x:v>
      </x:c>
      <x:c r="G401" s="32" t="str">
        <x:v>АО Экспортно-кредитное агенство Казахстана</x:v>
      </x:c>
      <x:c r="H401" s="32" t="str">
        <x:v>live batch v3</x:v>
      </x:c>
      <x:c r="I401" s="32" t="n">
        <x:v>347</x:v>
      </x:c>
      <x:c r="J401" s="32" t="str">
        <x:v>approved</x:v>
      </x:c>
    </x:row>
    <x:row r="402" ht="42" customHeight="1">
      <x:c r="A402" s="32" t="str">
        <x:v>Сартаева Гаухар Шыныбековна</x:v>
      </x:c>
      <x:c r="B402" s="32" t="str">
        <x:v>rootToLive</x:v>
      </x:c>
      <x:c r="C402" s="32" t="str">
        <x:v>live_only</x:v>
      </x:c>
      <x:c r="D402" s="32" t="str">
        <x:v>2025-09-29</x:v>
      </x:c>
      <x:c r="E402" s="32" t="n">
        <x:v>4</x:v>
      </x:c>
      <x:c r="F402" s="32" t="str">
        <x:v>Административная работа</x:v>
      </x:c>
      <x:c r="G402" s="32" t="str">
        <x:v>Учебные курсы для сотрудников</x:v>
      </x:c>
      <x:c r="H402" s="32" t="str">
        <x:v>live batch v3</x:v>
      </x:c>
      <x:c r="I402" s="32" t="n">
        <x:v>351</x:v>
      </x:c>
      <x:c r="J402" s="32" t="str">
        <x:v>approved</x:v>
      </x:c>
    </x:row>
    <x:row r="403" ht="42" customHeight="1">
      <x:c r="A403" s="32" t="str">
        <x:v>Сартаева Гаухар Шыныбековна</x:v>
      </x:c>
      <x:c r="B403" s="32" t="str">
        <x:v>rootToLive</x:v>
      </x:c>
      <x:c r="C403" s="32" t="str">
        <x:v>live_only</x:v>
      </x:c>
      <x:c r="D403" s="32" t="str">
        <x:v>2025-08-26</x:v>
      </x:c>
      <x:c r="E403" s="32" t="n">
        <x:v>4</x:v>
      </x:c>
      <x:c r="F403" s="32" t="str">
        <x:v>Административная работа</x:v>
      </x:c>
      <x:c r="G403" s="32" t="str">
        <x:v>Учебные курсы для сотрудников</x:v>
      </x:c>
      <x:c r="H403" s="32" t="str">
        <x:v>live batch v3</x:v>
      </x:c>
      <x:c r="I403" s="32" t="n">
        <x:v>353</x:v>
      </x:c>
      <x:c r="J403" s="32" t="str">
        <x:v>approved</x:v>
      </x:c>
    </x:row>
    <x:row r="404" ht="42" customHeight="1">
      <x:c r="A404" s="32" t="str">
        <x:v>Сартаева Гаухар Шыныбековна</x:v>
      </x:c>
      <x:c r="B404" s="32" t="str">
        <x:v>rootToLive</x:v>
      </x:c>
      <x:c r="C404" s="32" t="str">
        <x:v>live_only</x:v>
      </x:c>
      <x:c r="D404" s="32" t="str">
        <x:v>2025-11-27</x:v>
      </x:c>
      <x:c r="E404" s="32" t="n">
        <x:v>4</x:v>
      </x:c>
      <x:c r="F404" s="32" t="str">
        <x:v>Административная работа</x:v>
      </x:c>
      <x:c r="G404" s="32" t="str">
        <x:v>Учебные курсы для сотрудников</x:v>
      </x:c>
      <x:c r="H404" s="32" t="str">
        <x:v>live batch v3</x:v>
      </x:c>
      <x:c r="I404" s="32" t="n">
        <x:v>359</x:v>
      </x:c>
      <x:c r="J404" s="32" t="str">
        <x:v>approved</x:v>
      </x:c>
    </x:row>
    <x:row r="405" ht="42" customHeight="1">
      <x:c r="A405" s="32" t="str">
        <x:v>Сартаева Гаухар Шыныбековна</x:v>
      </x:c>
      <x:c r="B405" s="32" t="str">
        <x:v>rootToLive</x:v>
      </x:c>
      <x:c r="C405" s="32" t="str">
        <x:v>live_only</x:v>
      </x:c>
      <x:c r="D405" s="32" t="str">
        <x:v>2025-09-09</x:v>
      </x:c>
      <x:c r="E405" s="32" t="n">
        <x:v>4</x:v>
      </x:c>
      <x:c r="F405" s="32" t="str">
        <x:v>АО Экспортно-кредитное агенство Казахстана</x:v>
      </x:c>
      <x:c r="G405" s="32" t="str">
        <x:v>АО Экспортно-кредитное агенство Казахстана</x:v>
      </x:c>
      <x:c r="H405" s="32" t="str">
        <x:v>live batch v3</x:v>
      </x:c>
      <x:c r="I405" s="32" t="n">
        <x:v>360</x:v>
      </x:c>
      <x:c r="J405" s="32" t="str">
        <x:v>approved</x:v>
      </x:c>
    </x:row>
    <x:row r="406" ht="42" customHeight="1">
      <x:c r="A406" s="32" t="str">
        <x:v>Сартаева Гаухар Шыныбековна</x:v>
      </x:c>
      <x:c r="B406" s="32" t="str">
        <x:v>rootToLive</x:v>
      </x:c>
      <x:c r="C406" s="32" t="str">
        <x:v>live_only</x:v>
      </x:c>
      <x:c r="D406" s="32" t="str">
        <x:v>2025-09-03</x:v>
      </x:c>
      <x:c r="E406" s="32" t="n">
        <x:v>4</x:v>
      </x:c>
      <x:c r="F406" s="32" t="str">
        <x:v>Административная работа</x:v>
      </x:c>
      <x:c r="G406" s="32" t="str">
        <x:v>Учебные курсы для сотрудников</x:v>
      </x:c>
      <x:c r="H406" s="32" t="str">
        <x:v>live batch v3</x:v>
      </x:c>
      <x:c r="I406" s="32" t="n">
        <x:v>361</x:v>
      </x:c>
      <x:c r="J406" s="32" t="str">
        <x:v>approved</x:v>
      </x:c>
    </x:row>
    <x:row r="407" ht="42" customHeight="1">
      <x:c r="A407" s="32" t="str">
        <x:v>Сартаева Гаухар Шыныбековна</x:v>
      </x:c>
      <x:c r="B407" s="32" t="str">
        <x:v>rootToLive</x:v>
      </x:c>
      <x:c r="C407" s="32" t="str">
        <x:v>live_only</x:v>
      </x:c>
      <x:c r="D407" s="32" t="str">
        <x:v>2025-08-27</x:v>
      </x:c>
      <x:c r="E407" s="32" t="n">
        <x:v>4</x:v>
      </x:c>
      <x:c r="F407" s="32" t="str">
        <x:v>АО Экспортно-кредитное агенство Казахстана</x:v>
      </x:c>
      <x:c r="G407" s="32" t="str">
        <x:v>АО Экспортно-кредитное агенство Казахстана</x:v>
      </x:c>
      <x:c r="H407" s="32" t="str">
        <x:v>live batch v3</x:v>
      </x:c>
      <x:c r="I407" s="32" t="n">
        <x:v>362</x:v>
      </x:c>
      <x:c r="J407" s="32" t="str">
        <x:v>approved</x:v>
      </x:c>
    </x:row>
    <x:row r="408" ht="42" customHeight="1">
      <x:c r="A408" s="32" t="str">
        <x:v>Сартаева Гаухар Шыныбековна</x:v>
      </x:c>
      <x:c r="B408" s="32" t="str">
        <x:v>rootToLive</x:v>
      </x:c>
      <x:c r="C408" s="32" t="str">
        <x:v>live_only</x:v>
      </x:c>
      <x:c r="D408" s="32" t="str">
        <x:v>2025-10-01</x:v>
      </x:c>
      <x:c r="E408" s="32" t="n">
        <x:v>8</x:v>
      </x:c>
      <x:c r="F408" s="32" t="str">
        <x:v>АО Экспортно-кредитное агенство Казахстана</x:v>
      </x:c>
      <x:c r="G408" s="32" t="str">
        <x:v>АО Экспортно-кредитное агенство Казахстана</x:v>
      </x:c>
      <x:c r="H408" s="32" t="str">
        <x:v>live batch v3</x:v>
      </x:c>
      <x:c r="I408" s="32" t="n">
        <x:v>363</x:v>
      </x:c>
      <x:c r="J408" s="32" t="str">
        <x:v>approved</x:v>
      </x:c>
    </x:row>
    <x:row r="409" ht="42" customHeight="1">
      <x:c r="A409" s="32" t="str">
        <x:v>Сартаева Гаухар Шыныбековна</x:v>
      </x:c>
      <x:c r="B409" s="32" t="str">
        <x:v>rootToLive</x:v>
      </x:c>
      <x:c r="C409" s="32" t="str">
        <x:v>live_only</x:v>
      </x:c>
      <x:c r="D409" s="32" t="str">
        <x:v>2025-09-16</x:v>
      </x:c>
      <x:c r="E409" s="32" t="n">
        <x:v>4</x:v>
      </x:c>
      <x:c r="F409" s="32" t="str">
        <x:v>АО Экспортно-кредитное агенство Казахстана</x:v>
      </x:c>
      <x:c r="G409" s="32" t="str">
        <x:v>АО Экспортно-кредитное агенство Казахстана</x:v>
      </x:c>
      <x:c r="H409" s="32" t="str">
        <x:v>live batch v3</x:v>
      </x:c>
      <x:c r="I409" s="32" t="n">
        <x:v>367</x:v>
      </x:c>
      <x:c r="J409" s="32" t="str">
        <x:v>approved</x:v>
      </x:c>
    </x:row>
    <x:row r="410" ht="42" customHeight="1">
      <x:c r="A410" s="32" t="str">
        <x:v>Сартаева Гаухар Шыныбековна</x:v>
      </x:c>
      <x:c r="B410" s="32" t="str">
        <x:v>rootToLive</x:v>
      </x:c>
      <x:c r="C410" s="32" t="str">
        <x:v>live_only</x:v>
      </x:c>
      <x:c r="D410" s="32" t="str">
        <x:v>2025-09-08</x:v>
      </x:c>
      <x:c r="E410" s="32" t="n">
        <x:v>8</x:v>
      </x:c>
      <x:c r="F410" s="32" t="str">
        <x:v>АО Экспортно-кредитное агенство Казахстана</x:v>
      </x:c>
      <x:c r="G410" s="32" t="str">
        <x:v>АО Экспортно-кредитное агенство Казахстана</x:v>
      </x:c>
      <x:c r="H410" s="32" t="str">
        <x:v>live batch v3</x:v>
      </x:c>
      <x:c r="I410" s="32" t="n">
        <x:v>369</x:v>
      </x:c>
      <x:c r="J410" s="32" t="str">
        <x:v>approved</x:v>
      </x:c>
    </x:row>
    <x:row r="411" ht="42" customHeight="1">
      <x:c r="A411" s="32" t="str">
        <x:v>Сартаева Гаухар Шыныбековна</x:v>
      </x:c>
      <x:c r="B411" s="32" t="str">
        <x:v>rootToLive</x:v>
      </x:c>
      <x:c r="C411" s="32" t="str">
        <x:v>live_only</x:v>
      </x:c>
      <x:c r="D411" s="32" t="str">
        <x:v>2025-09-02</x:v>
      </x:c>
      <x:c r="E411" s="32" t="n">
        <x:v>4</x:v>
      </x:c>
      <x:c r="F411" s="32" t="str">
        <x:v>АО Экспортно-кредитное агенство Казахстана</x:v>
      </x:c>
      <x:c r="G411" s="32" t="str">
        <x:v>АО Экспортно-кредитное агенство Казахстана</x:v>
      </x:c>
      <x:c r="H411" s="32" t="str">
        <x:v>live batch v3</x:v>
      </x:c>
      <x:c r="I411" s="32" t="n">
        <x:v>372</x:v>
      </x:c>
      <x:c r="J411" s="32" t="str">
        <x:v>approved</x:v>
      </x:c>
    </x:row>
    <x:row r="412" ht="42" customHeight="1">
      <x:c r="A412" s="32" t="str">
        <x:v>Сартаева Гаухар Шыныбековна</x:v>
      </x:c>
      <x:c r="B412" s="32" t="str">
        <x:v>rootToLive</x:v>
      </x:c>
      <x:c r="C412" s="32" t="str">
        <x:v>live_only</x:v>
      </x:c>
      <x:c r="D412" s="32" t="str">
        <x:v>2025-09-17</x:v>
      </x:c>
      <x:c r="E412" s="32" t="n">
        <x:v>8</x:v>
      </x:c>
      <x:c r="F412" s="32" t="str">
        <x:v>АО Экспортно-кредитное агенство Казахстана</x:v>
      </x:c>
      <x:c r="G412" s="32" t="str">
        <x:v>АО Экспортно-кредитное агенство Казахстана</x:v>
      </x:c>
      <x:c r="H412" s="32" t="str">
        <x:v>live batch v3</x:v>
      </x:c>
      <x:c r="I412" s="32" t="n">
        <x:v>379</x:v>
      </x:c>
      <x:c r="J412" s="32" t="str">
        <x:v>approved</x:v>
      </x:c>
    </x:row>
    <x:row r="413" ht="42" customHeight="1">
      <x:c r="A413" s="32" t="str">
        <x:v>Сартаева Гаухар Шыныбековна</x:v>
      </x:c>
      <x:c r="B413" s="32" t="str">
        <x:v>rootToLive</x:v>
      </x:c>
      <x:c r="C413" s="32" t="str">
        <x:v>live_only</x:v>
      </x:c>
      <x:c r="D413" s="32" t="str">
        <x:v>2025-10-06</x:v>
      </x:c>
      <x:c r="E413" s="32" t="n">
        <x:v>4</x:v>
      </x:c>
      <x:c r="F413" s="32" t="str">
        <x:v>Административная работа</x:v>
      </x:c>
      <x:c r="G413" s="32" t="str">
        <x:v>Учебные курсы для сотрудников</x:v>
      </x:c>
      <x:c r="H413" s="32" t="str">
        <x:v>live batch v3</x:v>
      </x:c>
      <x:c r="I413" s="32" t="n">
        <x:v>380</x:v>
      </x:c>
      <x:c r="J413" s="32" t="str">
        <x:v>approved</x:v>
      </x:c>
    </x:row>
    <x:row r="414" ht="42" customHeight="1">
      <x:c r="A414" s="32" t="str">
        <x:v>Сартаева Гаухар Шыныбековна</x:v>
      </x:c>
      <x:c r="B414" s="32" t="str">
        <x:v>rootToLive</x:v>
      </x:c>
      <x:c r="C414" s="32" t="str">
        <x:v>live_only</x:v>
      </x:c>
      <x:c r="D414" s="32" t="str">
        <x:v>2025-09-25</x:v>
      </x:c>
      <x:c r="E414" s="32" t="n">
        <x:v>8</x:v>
      </x:c>
      <x:c r="F414" s="32" t="str">
        <x:v>АО Экспортно-кредитное агенство Казахстана</x:v>
      </x:c>
      <x:c r="G414" s="32" t="str">
        <x:v>АО Экспортно-кредитное агенство Казахстана</x:v>
      </x:c>
      <x:c r="H414" s="32" t="str">
        <x:v>live batch v3</x:v>
      </x:c>
      <x:c r="I414" s="32" t="n">
        <x:v>381</x:v>
      </x:c>
      <x:c r="J414" s="32" t="str">
        <x:v>approved</x:v>
      </x:c>
    </x:row>
    <x:row r="415" ht="42" customHeight="1">
      <x:c r="A415" s="32" t="str">
        <x:v>Сартаева Гаухар Шыныбековна</x:v>
      </x:c>
      <x:c r="B415" s="32" t="str">
        <x:v>rootToLive</x:v>
      </x:c>
      <x:c r="C415" s="32" t="str">
        <x:v>live_only</x:v>
      </x:c>
      <x:c r="D415" s="32" t="str">
        <x:v>2025-08-27</x:v>
      </x:c>
      <x:c r="E415" s="32" t="n">
        <x:v>4</x:v>
      </x:c>
      <x:c r="F415" s="32" t="str">
        <x:v>Административная работа</x:v>
      </x:c>
      <x:c r="G415" s="32" t="str">
        <x:v>Учебные курсы для сотрудников</x:v>
      </x:c>
      <x:c r="H415" s="32" t="str">
        <x:v>live batch v3</x:v>
      </x:c>
      <x:c r="I415" s="32" t="n">
        <x:v>382</x:v>
      </x:c>
      <x:c r="J415" s="32" t="str">
        <x:v>approved</x:v>
      </x:c>
    </x:row>
    <x:row r="416" ht="42" customHeight="1">
      <x:c r="A416" s="32" t="str">
        <x:v>Сартаева Гаухар Шыныбековна</x:v>
      </x:c>
      <x:c r="B416" s="32" t="str">
        <x:v>rootToLive</x:v>
      </x:c>
      <x:c r="C416" s="32" t="str">
        <x:v>live_only</x:v>
      </x:c>
      <x:c r="D416" s="32" t="str">
        <x:v>2025-08-28</x:v>
      </x:c>
      <x:c r="E416" s="32" t="n">
        <x:v>8</x:v>
      </x:c>
      <x:c r="F416" s="32" t="str">
        <x:v>АО Экспортно-кредитное агенство Казахстана</x:v>
      </x:c>
      <x:c r="G416" s="32" t="str">
        <x:v>АО Экспортно-кредитное агенство Казахстана</x:v>
      </x:c>
      <x:c r="H416" s="32" t="str">
        <x:v>live batch v3</x:v>
      </x:c>
      <x:c r="I416" s="32" t="n">
        <x:v>383</x:v>
      </x:c>
      <x:c r="J416" s="32" t="str">
        <x:v>approved</x:v>
      </x:c>
    </x:row>
    <x:row r="417" ht="42" customHeight="1">
      <x:c r="A417" s="32" t="str">
        <x:v>Сартаева Гаухар Шыныбековна</x:v>
      </x:c>
      <x:c r="B417" s="32" t="str">
        <x:v>rootToLive</x:v>
      </x:c>
      <x:c r="C417" s="32" t="str">
        <x:v>live_only</x:v>
      </x:c>
      <x:c r="D417" s="32" t="str">
        <x:v>2025-09-16</x:v>
      </x:c>
      <x:c r="E417" s="32" t="n">
        <x:v>4</x:v>
      </x:c>
      <x:c r="F417" s="32" t="str">
        <x:v>Административная работа</x:v>
      </x:c>
      <x:c r="G417" s="32" t="str">
        <x:v>Учебные курсы для сотрудников</x:v>
      </x:c>
      <x:c r="H417" s="32" t="str">
        <x:v>live batch v3</x:v>
      </x:c>
      <x:c r="I417" s="32" t="n">
        <x:v>387</x:v>
      </x:c>
      <x:c r="J417" s="32" t="str">
        <x:v>approved</x:v>
      </x:c>
    </x:row>
    <x:row r="418" ht="42" customHeight="1">
      <x:c r="A418" s="32" t="str">
        <x:v>Сартаева Гаухар Шыныбековна</x:v>
      </x:c>
      <x:c r="B418" s="32" t="str">
        <x:v>rootToLive</x:v>
      </x:c>
      <x:c r="C418" s="32" t="str">
        <x:v>live_only</x:v>
      </x:c>
      <x:c r="D418" s="32" t="str">
        <x:v>2025-09-03</x:v>
      </x:c>
      <x:c r="E418" s="32" t="n">
        <x:v>4</x:v>
      </x:c>
      <x:c r="F418" s="32" t="str">
        <x:v>АО Экспортно-кредитное агенство Казахстана</x:v>
      </x:c>
      <x:c r="G418" s="32" t="str">
        <x:v>АО Экспортно-кредитное агенство Казахстана</x:v>
      </x:c>
      <x:c r="H418" s="32" t="str">
        <x:v>live batch v3</x:v>
      </x:c>
      <x:c r="I418" s="32" t="n">
        <x:v>391</x:v>
      </x:c>
      <x:c r="J418" s="32" t="str">
        <x:v>approved</x:v>
      </x:c>
    </x:row>
    <x:row r="419" ht="42" customHeight="1">
      <x:c r="A419" s="32" t="str">
        <x:v>Сартаева Гаухар Шыныбековна</x:v>
      </x:c>
      <x:c r="B419" s="32" t="str">
        <x:v>rootToLive</x:v>
      </x:c>
      <x:c r="C419" s="32" t="str">
        <x:v>live_only</x:v>
      </x:c>
      <x:c r="D419" s="32" t="str">
        <x:v>2025-09-30</x:v>
      </x:c>
      <x:c r="E419" s="32" t="n">
        <x:v>4</x:v>
      </x:c>
      <x:c r="F419" s="32" t="str">
        <x:v>Административная работа</x:v>
      </x:c>
      <x:c r="G419" s="32" t="str">
        <x:v>Учебные курсы для сотрудников</x:v>
      </x:c>
      <x:c r="H419" s="32" t="str">
        <x:v>live batch v3</x:v>
      </x:c>
      <x:c r="I419" s="32" t="n">
        <x:v>392</x:v>
      </x:c>
      <x:c r="J419" s="32" t="str">
        <x:v>approved</x:v>
      </x:c>
    </x:row>
    <x:row r="420" ht="42" customHeight="1">
      <x:c r="A420" s="32" t="str">
        <x:v>Сартаева Гаухар Шыныбековна</x:v>
      </x:c>
      <x:c r="B420" s="32" t="str">
        <x:v>rootToLive</x:v>
      </x:c>
      <x:c r="C420" s="32" t="str">
        <x:v>live_only</x:v>
      </x:c>
      <x:c r="D420" s="32" t="str">
        <x:v>2025-10-02</x:v>
      </x:c>
      <x:c r="E420" s="32" t="n">
        <x:v>8</x:v>
      </x:c>
      <x:c r="F420" s="32" t="str">
        <x:v>АО Экспортно-кредитное агенство Казахстана</x:v>
      </x:c>
      <x:c r="G420" s="32" t="str">
        <x:v>АО Экспортно-кредитное агенство Казахстана</x:v>
      </x:c>
      <x:c r="H420" s="32" t="str">
        <x:v>live batch v3</x:v>
      </x:c>
      <x:c r="I420" s="32" t="n">
        <x:v>393</x:v>
      </x:c>
      <x:c r="J420" s="32" t="str">
        <x:v>approved</x:v>
      </x:c>
    </x:row>
    <x:row r="421" ht="42" customHeight="1">
      <x:c r="A421" s="32" t="str">
        <x:v>Сартаева Гаухар Шыныбековна</x:v>
      </x:c>
      <x:c r="B421" s="32" t="str">
        <x:v>rootToLive</x:v>
      </x:c>
      <x:c r="C421" s="32" t="str">
        <x:v>live_only</x:v>
      </x:c>
      <x:c r="D421" s="32" t="str">
        <x:v>2025-11-21</x:v>
      </x:c>
      <x:c r="E421" s="32" t="n">
        <x:v>8</x:v>
      </x:c>
      <x:c r="F421" s="32" t="str">
        <x:v>Административная работа</x:v>
      </x:c>
      <x:c r="G421" s="32" t="str">
        <x:v>без содержания</x:v>
      </x:c>
      <x:c r="H421" s="32" t="str">
        <x:v>live batch v3</x:v>
      </x:c>
      <x:c r="I421" s="32" t="n">
        <x:v>395</x:v>
      </x:c>
      <x:c r="J421" s="32" t="str">
        <x:v>approved</x:v>
      </x:c>
    </x:row>
    <x:row r="422" ht="42" customHeight="1">
      <x:c r="A422" s="32" t="str">
        <x:v>Сартаева Гаухар Шыныбековна</x:v>
      </x:c>
      <x:c r="B422" s="32" t="str">
        <x:v>rootToLive</x:v>
      </x:c>
      <x:c r="C422" s="32" t="str">
        <x:v>live_only</x:v>
      </x:c>
      <x:c r="D422" s="32" t="str">
        <x:v>2025-09-15</x:v>
      </x:c>
      <x:c r="E422" s="32" t="n">
        <x:v>8</x:v>
      </x:c>
      <x:c r="F422" s="32" t="str">
        <x:v>АО Экспортно-кредитное агенство Казахстана</x:v>
      </x:c>
      <x:c r="G422" s="32" t="str">
        <x:v>АО Экспортно-кредитное агенство Казахстана</x:v>
      </x:c>
      <x:c r="H422" s="32" t="str">
        <x:v>live batch v3</x:v>
      </x:c>
      <x:c r="I422" s="32" t="n">
        <x:v>402</x:v>
      </x:c>
      <x:c r="J422" s="32" t="str">
        <x:v>approved</x:v>
      </x:c>
    </x:row>
    <x:row r="423" ht="42" customHeight="1">
      <x:c r="A423" s="32" t="str">
        <x:v>Сартаева Гаухар Шыныбековна</x:v>
      </x:c>
      <x:c r="B423" s="32" t="str">
        <x:v>rootToLive</x:v>
      </x:c>
      <x:c r="C423" s="32" t="str">
        <x:v>live_only</x:v>
      </x:c>
      <x:c r="D423" s="32" t="str">
        <x:v>2025-09-10</x:v>
      </x:c>
      <x:c r="E423" s="32" t="n">
        <x:v>2</x:v>
      </x:c>
      <x:c r="F423" s="32" t="str">
        <x:v>АО Экспортно-кредитное агенство Казахстана</x:v>
      </x:c>
      <x:c r="G423" s="32" t="str">
        <x:v>АО Экспортно-кредитное агенство Казахстана</x:v>
      </x:c>
      <x:c r="H423" s="32" t="str">
        <x:v>live batch v3</x:v>
      </x:c>
      <x:c r="I423" s="32" t="n">
        <x:v>403</x:v>
      </x:c>
      <x:c r="J423" s="32" t="str">
        <x:v>approved</x:v>
      </x:c>
    </x:row>
    <x:row r="424" ht="42" customHeight="1">
      <x:c r="A424" s="32" t="str">
        <x:v>Сартаева Гаухар Шыныбековна</x:v>
      </x:c>
      <x:c r="B424" s="32" t="str">
        <x:v>rootToLive</x:v>
      </x:c>
      <x:c r="C424" s="32" t="str">
        <x:v>live_only</x:v>
      </x:c>
      <x:c r="D424" s="32" t="str">
        <x:v>2025-09-24</x:v>
      </x:c>
      <x:c r="E424" s="32" t="n">
        <x:v>8</x:v>
      </x:c>
      <x:c r="F424" s="32" t="str">
        <x:v>АО Экспортно-кредитное агенство Казахстана</x:v>
      </x:c>
      <x:c r="G424" s="32" t="str">
        <x:v>АО Экспортно-кредитное агенство Казахстана</x:v>
      </x:c>
      <x:c r="H424" s="32" t="str">
        <x:v>live batch v3</x:v>
      </x:c>
      <x:c r="I424" s="32" t="n">
        <x:v>405</x:v>
      </x:c>
      <x:c r="J424" s="32" t="str">
        <x:v>approved</x:v>
      </x:c>
    </x:row>
    <x:row r="425" ht="42" customHeight="1">
      <x:c r="A425" s="32" t="str">
        <x:v>Сартаева Гаухар Шыныбековна</x:v>
      </x:c>
      <x:c r="B425" s="32" t="str">
        <x:v>rootToLive</x:v>
      </x:c>
      <x:c r="C425" s="32" t="str">
        <x:v>live_only</x:v>
      </x:c>
      <x:c r="D425" s="32" t="str">
        <x:v>2025-06-24</x:v>
      </x:c>
      <x:c r="E425" s="32" t="n">
        <x:v>8</x:v>
      </x:c>
      <x:c r="F425" s="32" t="str">
        <x:v>АО «АО «ШалкияЦинк ЛТД» (аудит за 2025-2029гг)</x:v>
      </x:c>
      <x:c r="G425" s="32" t="str">
        <x:v>АО Шалкия Цинк</x:v>
      </x:c>
      <x:c r="H425" s="32" t="str">
        <x:v>live batch v3</x:v>
      </x:c>
      <x:c r="I425" s="32" t="n">
        <x:v>436</x:v>
      </x:c>
      <x:c r="J425" s="32" t="str">
        <x:v>approved</x:v>
      </x:c>
    </x:row>
    <x:row r="426" ht="42" customHeight="1">
      <x:c r="A426" s="32" t="str">
        <x:v>Сартаева Гаухар Шыныбековна</x:v>
      </x:c>
      <x:c r="B426" s="32" t="str">
        <x:v>rootToLive</x:v>
      </x:c>
      <x:c r="C426" s="32" t="str">
        <x:v>live_only</x:v>
      </x:c>
      <x:c r="D426" s="32" t="str">
        <x:v>2025-06-25</x:v>
      </x:c>
      <x:c r="E426" s="32" t="n">
        <x:v>8</x:v>
      </x:c>
      <x:c r="F426" s="32" t="str">
        <x:v>АО «АО «ШалкияЦинк ЛТД» (аудит за 2025-2029гг)</x:v>
      </x:c>
      <x:c r="G426" s="32" t="str">
        <x:v>АО Шалкия Цинк</x:v>
      </x:c>
      <x:c r="H426" s="32" t="str">
        <x:v>live batch v3</x:v>
      </x:c>
      <x:c r="I426" s="32" t="n">
        <x:v>437</x:v>
      </x:c>
      <x:c r="J426" s="32" t="str">
        <x:v>approved</x:v>
      </x:c>
    </x:row>
    <x:row r="427" ht="42" customHeight="1">
      <x:c r="A427" s="32" t="str">
        <x:v>Сартаева Гаухар Шыныбековна</x:v>
      </x:c>
      <x:c r="B427" s="32" t="str">
        <x:v>rootToLive</x:v>
      </x:c>
      <x:c r="C427" s="32" t="str">
        <x:v>live_only</x:v>
      </x:c>
      <x:c r="D427" s="32" t="str">
        <x:v>2025-06-23</x:v>
      </x:c>
      <x:c r="E427" s="32" t="n">
        <x:v>8</x:v>
      </x:c>
      <x:c r="F427" s="32" t="str">
        <x:v>АО «АО «ШалкияЦинк ЛТД» (аудит за 2025-2029гг)</x:v>
      </x:c>
      <x:c r="G427" s="32" t="str">
        <x:v>АО Шалкия Цинк</x:v>
      </x:c>
      <x:c r="H427" s="32" t="str">
        <x:v>live batch v3</x:v>
      </x:c>
      <x:c r="I427" s="32" t="n">
        <x:v>438</x:v>
      </x:c>
      <x:c r="J427" s="32" t="str">
        <x:v>approved</x:v>
      </x:c>
    </x:row>
    <x:row r="428" ht="42" customHeight="1">
      <x:c r="A428" s="32" t="str">
        <x:v>Сартаева Гаухар Шыныбековна</x:v>
      </x:c>
      <x:c r="B428" s="32" t="str">
        <x:v>rootToLive</x:v>
      </x:c>
      <x:c r="C428" s="32" t="str">
        <x:v>live_only</x:v>
      </x:c>
      <x:c r="D428" s="32" t="str">
        <x:v>2025-06-26</x:v>
      </x:c>
      <x:c r="E428" s="32" t="n">
        <x:v>8</x:v>
      </x:c>
      <x:c r="F428" s="32" t="str">
        <x:v>АО «АО «ШалкияЦинк ЛТД» (аудит за 2025-2029гг)</x:v>
      </x:c>
      <x:c r="G428" s="32" t="str">
        <x:v>АО Шалкия Цинк</x:v>
      </x:c>
      <x:c r="H428" s="32" t="str">
        <x:v>live batch v3</x:v>
      </x:c>
      <x:c r="I428" s="32" t="n">
        <x:v>439</x:v>
      </x:c>
      <x:c r="J428" s="32" t="str">
        <x:v>approved</x:v>
      </x:c>
    </x:row>
    <x:row r="429" ht="42" customHeight="1">
      <x:c r="A429" s="32" t="str">
        <x:v>Сартаева Гаухар Шыныбековна</x:v>
      </x:c>
      <x:c r="B429" s="32" t="str">
        <x:v>rootToLive</x:v>
      </x:c>
      <x:c r="C429" s="32" t="str">
        <x:v>live_only</x:v>
      </x:c>
      <x:c r="D429" s="32" t="str">
        <x:v>2025-09-04</x:v>
      </x:c>
      <x:c r="E429" s="32" t="n">
        <x:v>8</x:v>
      </x:c>
      <x:c r="F429" s="32" t="str">
        <x:v>АО Экспортно-кредитное агенство Казахстана</x:v>
      </x:c>
      <x:c r="G429" s="32" t="str">
        <x:v>АО Экспортно-кредитное агенство Казахстана</x:v>
      </x:c>
      <x:c r="H429" s="32" t="str">
        <x:v>live batch v3</x:v>
      </x:c>
      <x:c r="I429" s="32" t="n">
        <x:v>443</x:v>
      </x:c>
      <x:c r="J429" s="32" t="str">
        <x:v>approved</x:v>
      </x:c>
    </x:row>
    <x:row r="430" ht="42" customHeight="1">
      <x:c r="A430" s="32" t="str">
        <x:v>Сартаева Гаухар Шыныбековна</x:v>
      </x:c>
      <x:c r="B430" s="32" t="str">
        <x:v>rootToLive</x:v>
      </x:c>
      <x:c r="C430" s="32" t="str">
        <x:v>live_only</x:v>
      </x:c>
      <x:c r="D430" s="32" t="str">
        <x:v>2025-09-05</x:v>
      </x:c>
      <x:c r="E430" s="32" t="n">
        <x:v>8</x:v>
      </x:c>
      <x:c r="F430" s="32" t="str">
        <x:v>АО Экспортно-кредитное агенство Казахстана</x:v>
      </x:c>
      <x:c r="G430" s="32" t="str">
        <x:v>АО Экспортно-кредитное агенство Казахстана</x:v>
      </x:c>
      <x:c r="H430" s="32" t="str">
        <x:v>live batch v3</x:v>
      </x:c>
      <x:c r="I430" s="32" t="n">
        <x:v>444</x:v>
      </x:c>
      <x:c r="J430" s="32" t="str">
        <x:v>approved</x:v>
      </x:c>
    </x:row>
    <x:row r="431" ht="42" customHeight="1">
      <x:c r="A431" s="32" t="str">
        <x:v>Сартаева Гаухар Шыныбековна</x:v>
      </x:c>
      <x:c r="B431" s="32" t="str">
        <x:v>rootToLive</x:v>
      </x:c>
      <x:c r="C431" s="32" t="str">
        <x:v>live_only</x:v>
      </x:c>
      <x:c r="D431" s="32" t="str">
        <x:v>2025-08-29</x:v>
      </x:c>
      <x:c r="E431" s="32" t="n">
        <x:v>8</x:v>
      </x:c>
      <x:c r="F431" s="32" t="str">
        <x:v>АО Экспортно-кредитное агенство Казахстана</x:v>
      </x:c>
      <x:c r="G431" s="32" t="str">
        <x:v>АО Экспортно-кредитное агенство Казахстана</x:v>
      </x:c>
      <x:c r="H431" s="32" t="str">
        <x:v>live batch v3</x:v>
      </x:c>
      <x:c r="I431" s="32" t="n">
        <x:v>445</x:v>
      </x:c>
      <x:c r="J431" s="32" t="str">
        <x:v>approved</x:v>
      </x:c>
    </x:row>
    <x:row r="432" ht="42" customHeight="1">
      <x:c r="A432" s="32" t="str">
        <x:v>Сартаева Гаухар Шыныбековна</x:v>
      </x:c>
      <x:c r="B432" s="32" t="str">
        <x:v>rootToLive</x:v>
      </x:c>
      <x:c r="C432" s="32" t="str">
        <x:v>live_only</x:v>
      </x:c>
      <x:c r="D432" s="32" t="str">
        <x:v>2025-12-25</x:v>
      </x:c>
      <x:c r="E432" s="32" t="n">
        <x:v>4</x:v>
      </x:c>
      <x:c r="F432" s="32" t="str">
        <x:v>Административная работа</x:v>
      </x:c>
      <x:c r="G432" s="32" t="str">
        <x:v>Учебные курсы для сотрудников</x:v>
      </x:c>
      <x:c r="H432" s="32" t="str">
        <x:v>live batch v3</x:v>
      </x:c>
      <x:c r="I432" s="32" t="n">
        <x:v>450</x:v>
      </x:c>
      <x:c r="J432" s="32" t="str">
        <x:v>approved</x:v>
      </x:c>
    </x:row>
    <x:row r="433" ht="42" customHeight="1">
      <x:c r="A433" s="32" t="str">
        <x:v>Сартаева Гаухар Шыныбековна</x:v>
      </x:c>
      <x:c r="B433" s="32" t="str">
        <x:v>rootToLive</x:v>
      </x:c>
      <x:c r="C433" s="32" t="str">
        <x:v>live_only</x:v>
      </x:c>
      <x:c r="D433" s="32" t="str">
        <x:v>2026-06-01</x:v>
      </x:c>
      <x:c r="E433" s="32" t="n">
        <x:v>8</x:v>
      </x:c>
      <x:c r="F433" s="32" t="str">
        <x:v>ТОО Вива Фарм Аудит ФО и НО за 2024 год: приступить к аудиту</x:v>
      </x:c>
      <x:c r="G433" s="32" t="str">
        <x:v>аудит за 2025г. Вива МД</x:v>
      </x:c>
      <x:c r="H433" s="32" t="str">
        <x:v>live batch v3</x:v>
      </x:c>
      <x:c r="I433" s="32" t="n">
        <x:v>451</x:v>
      </x:c>
      <x:c r="J433" s="32" t="str">
        <x:v>submitted</x:v>
      </x:c>
    </x:row>
    <x:row r="434" ht="42" customHeight="1">
      <x:c r="A434" s="32" t="str">
        <x:v>Сартаева Гаухар Шыныбековна</x:v>
      </x:c>
      <x:c r="B434" s="32" t="str">
        <x:v>rootToLive</x:v>
      </x:c>
      <x:c r="C434" s="32" t="str">
        <x:v>live_only</x:v>
      </x:c>
      <x:c r="D434" s="32" t="str">
        <x:v>2026-06-02</x:v>
      </x:c>
      <x:c r="E434" s="32" t="n">
        <x:v>8</x:v>
      </x:c>
      <x:c r="F434" s="32" t="str">
        <x:v>ТОО Вива Фарм Аудит ФО и НО за 2024 год: приступить к аудиту</x:v>
      </x:c>
      <x:c r="G434" s="32" t="str">
        <x:v>аудит за 2025г. Вива МД</x:v>
      </x:c>
      <x:c r="H434" s="32" t="str">
        <x:v>live batch v3</x:v>
      </x:c>
      <x:c r="I434" s="32" t="n">
        <x:v>452</x:v>
      </x:c>
      <x:c r="J434" s="32" t="str">
        <x:v>submitted</x:v>
      </x:c>
    </x:row>
    <x:row r="435" ht="42" customHeight="1">
      <x:c r="A435" s="32" t="str">
        <x:v>Сартаева Гаухар Шыныбековна</x:v>
      </x:c>
      <x:c r="B435" s="32" t="str">
        <x:v>rawToLive</x:v>
      </x:c>
      <x:c r="C435" s="32" t="str">
        <x:v>source_only</x:v>
      </x:c>
      <x:c r="D435" s="32" t="str">
        <x:v>2025-06-09</x:v>
      </x:c>
      <x:c r="E435" s="32" t="n">
        <x:v>8</x:v>
      </x:c>
      <x:c r="F435" s="32" t="str">
        <x:v>---------Отсутствие по уважительной причине(Отпуск, больничный, и.т.д)------------</x:v>
      </x:c>
      <x:c r="G435" s="32" t="str">
        <x:v>отпуск</x:v>
      </x:c>
      <x:c r="H435" s="32" t="str">
        <x:v>Time Sheet</x:v>
      </x:c>
      <x:c r="I435" s="32" t="n">
        <x:v>174</x:v>
      </x:c>
      <x:c r="J435" s="32" t="str"/>
    </x:row>
    <x:row r="436" ht="42" customHeight="1">
      <x:c r="A436" s="32" t="str">
        <x:v>Сартаева Гаухар Шыныбековна</x:v>
      </x:c>
      <x:c r="B436" s="32" t="str">
        <x:v>rawToLive</x:v>
      </x:c>
      <x:c r="C436" s="32" t="str">
        <x:v>source_only</x:v>
      </x:c>
      <x:c r="D436" s="32" t="str">
        <x:v>2025-06-23</x:v>
      </x:c>
      <x:c r="E436" s="32" t="n">
        <x:v>8</x:v>
      </x:c>
      <x:c r="F436" s="32" t="str"/>
      <x:c r="G436" s="32" t="str">
        <x:v>АО Шалкия Цинк</x:v>
      </x:c>
      <x:c r="H436" s="32" t="str">
        <x:v>Time Sheet</x:v>
      </x:c>
      <x:c r="I436" s="32" t="n">
        <x:v>176</x:v>
      </x:c>
      <x:c r="J436" s="32" t="str"/>
    </x:row>
    <x:row r="437" ht="42" customHeight="1">
      <x:c r="A437" s="32" t="str">
        <x:v>Сартаева Гаухар Шыныбековна</x:v>
      </x:c>
      <x:c r="B437" s="32" t="str">
        <x:v>rawToLive</x:v>
      </x:c>
      <x:c r="C437" s="32" t="str">
        <x:v>source_only</x:v>
      </x:c>
      <x:c r="D437" s="32" t="str">
        <x:v>2025-06-24</x:v>
      </x:c>
      <x:c r="E437" s="32" t="n">
        <x:v>8</x:v>
      </x:c>
      <x:c r="F437" s="32" t="str"/>
      <x:c r="G437" s="32" t="str">
        <x:v>АО Шалкия Цинк</x:v>
      </x:c>
      <x:c r="H437" s="32" t="str">
        <x:v>Time Sheet</x:v>
      </x:c>
      <x:c r="I437" s="32" t="n">
        <x:v>177</x:v>
      </x:c>
      <x:c r="J437" s="32" t="str"/>
    </x:row>
    <x:row r="438" ht="42" customHeight="1">
      <x:c r="A438" s="32" t="str">
        <x:v>Сартаева Гаухар Шыныбековна</x:v>
      </x:c>
      <x:c r="B438" s="32" t="str">
        <x:v>rawToLive</x:v>
      </x:c>
      <x:c r="C438" s="32" t="str">
        <x:v>source_only</x:v>
      </x:c>
      <x:c r="D438" s="32" t="str">
        <x:v>2025-06-25</x:v>
      </x:c>
      <x:c r="E438" s="32" t="n">
        <x:v>8</x:v>
      </x:c>
      <x:c r="F438" s="32" t="str"/>
      <x:c r="G438" s="32" t="str">
        <x:v>АО Шалкия Цинк</x:v>
      </x:c>
      <x:c r="H438" s="32" t="str">
        <x:v>Time Sheet</x:v>
      </x:c>
      <x:c r="I438" s="32" t="n">
        <x:v>180</x:v>
      </x:c>
      <x:c r="J438" s="32" t="str"/>
    </x:row>
    <x:row r="439" ht="42" customHeight="1">
      <x:c r="A439" s="32" t="str">
        <x:v>Сартаева Гаухар Шыныбековна</x:v>
      </x:c>
      <x:c r="B439" s="32" t="str">
        <x:v>rawToLive</x:v>
      </x:c>
      <x:c r="C439" s="32" t="str">
        <x:v>source_only</x:v>
      </x:c>
      <x:c r="D439" s="32" t="str">
        <x:v>2025-06-26</x:v>
      </x:c>
      <x:c r="E439" s="32" t="n">
        <x:v>8</x:v>
      </x:c>
      <x:c r="F439" s="32" t="str"/>
      <x:c r="G439" s="32" t="str">
        <x:v>АО Шалкия Цинк</x:v>
      </x:c>
      <x:c r="H439" s="32" t="str">
        <x:v>Time Sheet</x:v>
      </x:c>
      <x:c r="I439" s="32" t="n">
        <x:v>181</x:v>
      </x:c>
      <x:c r="J439" s="32" t="str"/>
    </x:row>
    <x:row r="440" ht="42" customHeight="1">
      <x:c r="A440" s="32" t="str">
        <x:v>Сартаева Гаухар Шыныбековна</x:v>
      </x:c>
      <x:c r="B440" s="32" t="str">
        <x:v>rawToLive</x:v>
      </x:c>
      <x:c r="C440" s="32" t="str">
        <x:v>source_only</x:v>
      </x:c>
      <x:c r="D440" s="32" t="str">
        <x:v>2025-07-02</x:v>
      </x:c>
      <x:c r="E440" s="32" t="n">
        <x:v>8</x:v>
      </x:c>
      <x:c r="F440" s="32" t="str"/>
      <x:c r="G440" s="32" t="str">
        <x:v>АО Шалкия Цинк</x:v>
      </x:c>
      <x:c r="H440" s="32" t="str">
        <x:v>Time Sheet</x:v>
      </x:c>
      <x:c r="I440" s="32" t="n">
        <x:v>185</x:v>
      </x:c>
      <x:c r="J440" s="32" t="str"/>
    </x:row>
    <x:row r="441" ht="42" customHeight="1">
      <x:c r="A441" s="32" t="str">
        <x:v>Сартаева Гаухар Шыныбековна</x:v>
      </x:c>
      <x:c r="B441" s="32" t="str">
        <x:v>rawToLive</x:v>
      </x:c>
      <x:c r="C441" s="32" t="str">
        <x:v>source_only</x:v>
      </x:c>
      <x:c r="D441" s="32" t="str">
        <x:v>2025-07-03</x:v>
      </x:c>
      <x:c r="E441" s="32" t="n">
        <x:v>8</x:v>
      </x:c>
      <x:c r="F441" s="32" t="str"/>
      <x:c r="G441" s="32" t="str">
        <x:v>АО Шалкия Цинк</x:v>
      </x:c>
      <x:c r="H441" s="32" t="str">
        <x:v>Time Sheet</x:v>
      </x:c>
      <x:c r="I441" s="32" t="n">
        <x:v>186</x:v>
      </x:c>
      <x:c r="J441" s="32" t="str"/>
    </x:row>
    <x:row r="442" ht="42" customHeight="1">
      <x:c r="A442" s="32" t="str">
        <x:v>Сартаева Гаухар Шыныбековна</x:v>
      </x:c>
      <x:c r="B442" s="32" t="str">
        <x:v>rawToLive</x:v>
      </x:c>
      <x:c r="C442" s="32" t="str">
        <x:v>source_only</x:v>
      </x:c>
      <x:c r="D442" s="32" t="str">
        <x:v>2025-07-04</x:v>
      </x:c>
      <x:c r="E442" s="32" t="n">
        <x:v>5</x:v>
      </x:c>
      <x:c r="F442" s="32" t="str"/>
      <x:c r="G442" s="32" t="str">
        <x:v>АО Шалкия Цинк</x:v>
      </x:c>
      <x:c r="H442" s="32" t="str">
        <x:v>Time Sheet</x:v>
      </x:c>
      <x:c r="I442" s="32" t="n">
        <x:v>188</x:v>
      </x:c>
      <x:c r="J442" s="32" t="str"/>
    </x:row>
    <x:row r="443" ht="42" customHeight="1">
      <x:c r="A443" s="32" t="str">
        <x:v>Сартаева Гаухар Шыныбековна</x:v>
      </x:c>
      <x:c r="B443" s="32" t="str">
        <x:v>rawToLive</x:v>
      </x:c>
      <x:c r="C443" s="32" t="str">
        <x:v>source_only</x:v>
      </x:c>
      <x:c r="D443" s="32" t="str">
        <x:v>2025-07-08</x:v>
      </x:c>
      <x:c r="E443" s="32" t="n">
        <x:v>2</x:v>
      </x:c>
      <x:c r="F443" s="32" t="str"/>
      <x:c r="G443" s="32" t="str">
        <x:v>Грант Торонтон касательно АО Шалкия Цинк</x:v>
      </x:c>
      <x:c r="H443" s="32" t="str">
        <x:v>Time Sheet</x:v>
      </x:c>
      <x:c r="I443" s="32" t="n">
        <x:v>189</x:v>
      </x:c>
      <x:c r="J443" s="32" t="str"/>
    </x:row>
    <x:row r="444" ht="42" customHeight="1">
      <x:c r="A444" s="32" t="str">
        <x:v>Сартаева Гаухар Шыныбековна</x:v>
      </x:c>
      <x:c r="B444" s="32" t="str">
        <x:v>rawToLive</x:v>
      </x:c>
      <x:c r="C444" s="32" t="str">
        <x:v>source_only</x:v>
      </x:c>
      <x:c r="D444" s="32" t="str">
        <x:v>2025-07-08</x:v>
      </x:c>
      <x:c r="E444" s="32" t="n">
        <x:v>6</x:v>
      </x:c>
      <x:c r="F444" s="32" t="str"/>
      <x:c r="G444" s="32" t="str">
        <x:v>АО Шалкия Цинк</x:v>
      </x:c>
      <x:c r="H444" s="32" t="str">
        <x:v>Time Sheet</x:v>
      </x:c>
      <x:c r="I444" s="32" t="n">
        <x:v>190</x:v>
      </x:c>
      <x:c r="J444" s="32" t="str"/>
    </x:row>
    <x:row r="445" ht="42" customHeight="1">
      <x:c r="A445" s="32" t="str">
        <x:v>Сартаева Гаухар Шыныбековна</x:v>
      </x:c>
      <x:c r="B445" s="32" t="str">
        <x:v>rawToLive</x:v>
      </x:c>
      <x:c r="C445" s="32" t="str">
        <x:v>source_only</x:v>
      </x:c>
      <x:c r="D445" s="32" t="str">
        <x:v>2025-07-29</x:v>
      </x:c>
      <x:c r="E445" s="32" t="n">
        <x:v>8</x:v>
      </x:c>
      <x:c r="F445" s="32" t="str"/>
      <x:c r="G445" s="32" t="str">
        <x:v>АО Шалкия Цинк раскрытие для консолидаторов</x:v>
      </x:c>
      <x:c r="H445" s="32" t="str">
        <x:v>Time Sheet</x:v>
      </x:c>
      <x:c r="I445" s="32" t="n">
        <x:v>207</x:v>
      </x:c>
      <x:c r="J445" s="32" t="str"/>
    </x:row>
    <x:row r="446" ht="42" customHeight="1">
      <x:c r="A446" s="32" t="str">
        <x:v>Сартаева Гаухар Шыныбековна</x:v>
      </x:c>
      <x:c r="B446" s="32" t="str">
        <x:v>rawToLive</x:v>
      </x:c>
      <x:c r="C446" s="32" t="str">
        <x:v>source_only</x:v>
      </x:c>
      <x:c r="D446" s="32" t="str">
        <x:v>2025-08-01</x:v>
      </x:c>
      <x:c r="E446" s="32" t="n">
        <x:v>8</x:v>
      </x:c>
      <x:c r="F446" s="32" t="str"/>
      <x:c r="G446" s="32" t="str">
        <x:v>АО Шалкия Цинк раскрытие для консолидаторов</x:v>
      </x:c>
      <x:c r="H446" s="32" t="str">
        <x:v>Time Sheet</x:v>
      </x:c>
      <x:c r="I446" s="32" t="n">
        <x:v>210</x:v>
      </x:c>
      <x:c r="J446" s="32" t="str"/>
    </x:row>
    <x:row r="447" ht="42" customHeight="1">
      <x:c r="A447" s="32" t="str">
        <x:v>Сартаева Гаухар Шыныбековна</x:v>
      </x:c>
      <x:c r="B447" s="32" t="str">
        <x:v>rawToLive</x:v>
      </x:c>
      <x:c r="C447" s="32" t="str">
        <x:v>source_only</x:v>
      </x:c>
      <x:c r="D447" s="32" t="str">
        <x:v>2025-08-20</x:v>
      </x:c>
      <x:c r="E447" s="32" t="n">
        <x:v>4</x:v>
      </x:c>
      <x:c r="F447" s="32" t="str"/>
      <x:c r="G447" s="32" t="str">
        <x:v>Учебные курсы для сотрудников</x:v>
      </x:c>
      <x:c r="H447" s="32" t="str">
        <x:v>Time Sheet</x:v>
      </x:c>
      <x:c r="I447" s="32" t="n">
        <x:v>224</x:v>
      </x:c>
      <x:c r="J447" s="32" t="str"/>
    </x:row>
    <x:row r="448" ht="42" customHeight="1">
      <x:c r="A448" s="32" t="str">
        <x:v>Сартаева Гаухар Шыныбековна</x:v>
      </x:c>
      <x:c r="B448" s="32" t="str">
        <x:v>rawToLive</x:v>
      </x:c>
      <x:c r="C448" s="32" t="str">
        <x:v>source_only</x:v>
      </x:c>
      <x:c r="D448" s="32" t="str">
        <x:v>2025-08-21</x:v>
      </x:c>
      <x:c r="E448" s="32" t="n">
        <x:v>8</x:v>
      </x:c>
      <x:c r="F448" s="32" t="str"/>
      <x:c r="G448" s="32" t="str">
        <x:v>АО Экспортно-кредитное агенство Казахстана</x:v>
      </x:c>
      <x:c r="H448" s="32" t="str">
        <x:v>Time Sheet</x:v>
      </x:c>
      <x:c r="I448" s="32" t="n">
        <x:v>225</x:v>
      </x:c>
      <x:c r="J448" s="32" t="str"/>
    </x:row>
    <x:row r="449" ht="42" customHeight="1">
      <x:c r="A449" s="32" t="str">
        <x:v>Сартаева Гаухар Шыныбековна</x:v>
      </x:c>
      <x:c r="B449" s="32" t="str">
        <x:v>rawToLive</x:v>
      </x:c>
      <x:c r="C449" s="32" t="str">
        <x:v>source_only</x:v>
      </x:c>
      <x:c r="D449" s="32" t="str">
        <x:v>2025-08-22</x:v>
      </x:c>
      <x:c r="E449" s="32" t="n">
        <x:v>8</x:v>
      </x:c>
      <x:c r="F449" s="32" t="str"/>
      <x:c r="G449" s="32" t="str">
        <x:v>АО Экспортно-кредитное агенство Казахстана</x:v>
      </x:c>
      <x:c r="H449" s="32" t="str">
        <x:v>Time Sheet</x:v>
      </x:c>
      <x:c r="I449" s="32" t="n">
        <x:v>226</x:v>
      </x:c>
      <x:c r="J449" s="32" t="str"/>
    </x:row>
    <x:row r="450" ht="42" customHeight="1">
      <x:c r="A450" s="32" t="str">
        <x:v>Сартаева Гаухар Шыныбековна</x:v>
      </x:c>
      <x:c r="B450" s="32" t="str">
        <x:v>rawToLive</x:v>
      </x:c>
      <x:c r="C450" s="32" t="str">
        <x:v>source_only</x:v>
      </x:c>
      <x:c r="D450" s="32" t="str">
        <x:v>2025-08-25</x:v>
      </x:c>
      <x:c r="E450" s="32" t="n">
        <x:v>8</x:v>
      </x:c>
      <x:c r="F450" s="32" t="str"/>
      <x:c r="G450" s="32" t="str">
        <x:v>АО Экспортно-кредитное агенство Казахстана</x:v>
      </x:c>
      <x:c r="H450" s="32" t="str">
        <x:v>Time Sheet</x:v>
      </x:c>
      <x:c r="I450" s="32" t="n">
        <x:v>227</x:v>
      </x:c>
      <x:c r="J450" s="32" t="str"/>
    </x:row>
    <x:row r="451" ht="42" customHeight="1">
      <x:c r="A451" s="32" t="str">
        <x:v>Сартаева Гаухар Шыныбековна</x:v>
      </x:c>
      <x:c r="B451" s="32" t="str">
        <x:v>rawToLive</x:v>
      </x:c>
      <x:c r="C451" s="32" t="str">
        <x:v>source_only</x:v>
      </x:c>
      <x:c r="D451" s="32" t="str">
        <x:v>2025-08-26</x:v>
      </x:c>
      <x:c r="E451" s="32" t="n">
        <x:v>4</x:v>
      </x:c>
      <x:c r="F451" s="32" t="str"/>
      <x:c r="G451" s="32" t="str">
        <x:v>АО Экспортно-кредитное агенство Казахстана + Жалгизтобемунай (исправление тех.ошибки)</x:v>
      </x:c>
      <x:c r="H451" s="32" t="str">
        <x:v>Time Sheet</x:v>
      </x:c>
      <x:c r="I451" s="32" t="n">
        <x:v>228</x:v>
      </x:c>
      <x:c r="J451" s="32" t="str"/>
    </x:row>
    <x:row r="452" ht="42" customHeight="1">
      <x:c r="A452" s="32" t="str">
        <x:v>Сартаева Гаухар Шыныбековна</x:v>
      </x:c>
      <x:c r="B452" s="32" t="str">
        <x:v>rawToLive</x:v>
      </x:c>
      <x:c r="C452" s="32" t="str">
        <x:v>source_only</x:v>
      </x:c>
      <x:c r="D452" s="32" t="str">
        <x:v>2025-08-26</x:v>
      </x:c>
      <x:c r="E452" s="32" t="n">
        <x:v>4</x:v>
      </x:c>
      <x:c r="F452" s="32" t="str"/>
      <x:c r="G452" s="32" t="str">
        <x:v>Учебные курсы для сотрудников</x:v>
      </x:c>
      <x:c r="H452" s="32" t="str">
        <x:v>Time Sheet</x:v>
      </x:c>
      <x:c r="I452" s="32" t="n">
        <x:v>229</x:v>
      </x:c>
      <x:c r="J452" s="32" t="str"/>
    </x:row>
    <x:row r="453" ht="42" customHeight="1">
      <x:c r="A453" s="32" t="str">
        <x:v>Сартаева Гаухар Шыныбековна</x:v>
      </x:c>
      <x:c r="B453" s="32" t="str">
        <x:v>rawToLive</x:v>
      </x:c>
      <x:c r="C453" s="32" t="str">
        <x:v>source_only</x:v>
      </x:c>
      <x:c r="D453" s="32" t="str">
        <x:v>2025-08-27</x:v>
      </x:c>
      <x:c r="E453" s="32" t="n">
        <x:v>4</x:v>
      </x:c>
      <x:c r="F453" s="32" t="str"/>
      <x:c r="G453" s="32" t="str">
        <x:v>АО Экспортно-кредитное агенство Казахстана</x:v>
      </x:c>
      <x:c r="H453" s="32" t="str">
        <x:v>Time Sheet</x:v>
      </x:c>
      <x:c r="I453" s="32" t="n">
        <x:v>230</x:v>
      </x:c>
      <x:c r="J453" s="32" t="str"/>
    </x:row>
    <x:row r="454" ht="42" customHeight="1">
      <x:c r="A454" s="32" t="str">
        <x:v>Сартаева Гаухар Шыныбековна</x:v>
      </x:c>
      <x:c r="B454" s="32" t="str">
        <x:v>rawToLive</x:v>
      </x:c>
      <x:c r="C454" s="32" t="str">
        <x:v>source_only</x:v>
      </x:c>
      <x:c r="D454" s="32" t="str">
        <x:v>2025-08-27</x:v>
      </x:c>
      <x:c r="E454" s="32" t="n">
        <x:v>4</x:v>
      </x:c>
      <x:c r="F454" s="32" t="str"/>
      <x:c r="G454" s="32" t="str">
        <x:v>Учебные курсы для сотрудников</x:v>
      </x:c>
      <x:c r="H454" s="32" t="str">
        <x:v>Time Sheet</x:v>
      </x:c>
      <x:c r="I454" s="32" t="n">
        <x:v>231</x:v>
      </x:c>
      <x:c r="J454" s="32" t="str"/>
    </x:row>
    <x:row r="455" ht="42" customHeight="1">
      <x:c r="A455" s="32" t="str">
        <x:v>Сартаева Гаухар Шыныбековна</x:v>
      </x:c>
      <x:c r="B455" s="32" t="str">
        <x:v>rawToLive</x:v>
      </x:c>
      <x:c r="C455" s="32" t="str">
        <x:v>source_only</x:v>
      </x:c>
      <x:c r="D455" s="32" t="str">
        <x:v>2025-08-28</x:v>
      </x:c>
      <x:c r="E455" s="32" t="n">
        <x:v>8</x:v>
      </x:c>
      <x:c r="F455" s="32" t="str"/>
      <x:c r="G455" s="32" t="str">
        <x:v>АО Экспортно-кредитное агенство Казахстана</x:v>
      </x:c>
      <x:c r="H455" s="32" t="str">
        <x:v>Time Sheet</x:v>
      </x:c>
      <x:c r="I455" s="32" t="n">
        <x:v>232</x:v>
      </x:c>
      <x:c r="J455" s="32" t="str"/>
    </x:row>
    <x:row r="456" ht="42" customHeight="1">
      <x:c r="A456" s="32" t="str">
        <x:v>Сартаева Гаухар Шыныбековна</x:v>
      </x:c>
      <x:c r="B456" s="32" t="str">
        <x:v>rawToLive</x:v>
      </x:c>
      <x:c r="C456" s="32" t="str">
        <x:v>source_only</x:v>
      </x:c>
      <x:c r="D456" s="32" t="str">
        <x:v>2025-08-29</x:v>
      </x:c>
      <x:c r="E456" s="32" t="n">
        <x:v>8</x:v>
      </x:c>
      <x:c r="F456" s="32" t="str"/>
      <x:c r="G456" s="32" t="str">
        <x:v>АО Экспортно-кредитное агенство Казахстана</x:v>
      </x:c>
      <x:c r="H456" s="32" t="str">
        <x:v>Time Sheet</x:v>
      </x:c>
      <x:c r="I456" s="32" t="n">
        <x:v>233</x:v>
      </x:c>
      <x:c r="J456" s="32" t="str"/>
    </x:row>
    <x:row r="457" ht="42" customHeight="1">
      <x:c r="A457" s="32" t="str">
        <x:v>Сартаева Гаухар Шыныбековна</x:v>
      </x:c>
      <x:c r="B457" s="32" t="str">
        <x:v>rawToLive</x:v>
      </x:c>
      <x:c r="C457" s="32" t="str">
        <x:v>source_only</x:v>
      </x:c>
      <x:c r="D457" s="32" t="str">
        <x:v>2025-09-02</x:v>
      </x:c>
      <x:c r="E457" s="32" t="n">
        <x:v>4</x:v>
      </x:c>
      <x:c r="F457" s="32" t="str"/>
      <x:c r="G457" s="32" t="str">
        <x:v>АО Экспортно-кредитное агенство Казахстана</x:v>
      </x:c>
      <x:c r="H457" s="32" t="str">
        <x:v>Time Sheet</x:v>
      </x:c>
      <x:c r="I457" s="32" t="n">
        <x:v>234</x:v>
      </x:c>
      <x:c r="J457" s="32" t="str"/>
    </x:row>
    <x:row r="458" ht="42" customHeight="1">
      <x:c r="A458" s="32" t="str">
        <x:v>Сартаева Гаухар Шыныбековна</x:v>
      </x:c>
      <x:c r="B458" s="32" t="str">
        <x:v>rawToLive</x:v>
      </x:c>
      <x:c r="C458" s="32" t="str">
        <x:v>source_only</x:v>
      </x:c>
      <x:c r="D458" s="32" t="str">
        <x:v>2025-09-02</x:v>
      </x:c>
      <x:c r="E458" s="32" t="n">
        <x:v>4</x:v>
      </x:c>
      <x:c r="F458" s="32" t="str"/>
      <x:c r="G458" s="32" t="str">
        <x:v>Учебные курсы для сотрудников</x:v>
      </x:c>
      <x:c r="H458" s="32" t="str">
        <x:v>Time Sheet</x:v>
      </x:c>
      <x:c r="I458" s="32" t="n">
        <x:v>235</x:v>
      </x:c>
      <x:c r="J458" s="32" t="str"/>
    </x:row>
    <x:row r="459" ht="42" customHeight="1">
      <x:c r="A459" s="32" t="str">
        <x:v>Сартаева Гаухар Шыныбековна</x:v>
      </x:c>
      <x:c r="B459" s="32" t="str">
        <x:v>rawToLive</x:v>
      </x:c>
      <x:c r="C459" s="32" t="str">
        <x:v>source_only</x:v>
      </x:c>
      <x:c r="D459" s="32" t="str">
        <x:v>2025-09-03</x:v>
      </x:c>
      <x:c r="E459" s="32" t="n">
        <x:v>4</x:v>
      </x:c>
      <x:c r="F459" s="32" t="str"/>
      <x:c r="G459" s="32" t="str">
        <x:v>АО Экспортно-кредитное агенство Казахстана</x:v>
      </x:c>
      <x:c r="H459" s="32" t="str">
        <x:v>Time Sheet</x:v>
      </x:c>
      <x:c r="I459" s="32" t="n">
        <x:v>236</x:v>
      </x:c>
      <x:c r="J459" s="32" t="str"/>
    </x:row>
    <x:row r="460" ht="42" customHeight="1">
      <x:c r="A460" s="32" t="str">
        <x:v>Сартаева Гаухар Шыныбековна</x:v>
      </x:c>
      <x:c r="B460" s="32" t="str">
        <x:v>rawToLive</x:v>
      </x:c>
      <x:c r="C460" s="32" t="str">
        <x:v>source_only</x:v>
      </x:c>
      <x:c r="D460" s="32" t="str">
        <x:v>2025-09-03</x:v>
      </x:c>
      <x:c r="E460" s="32" t="n">
        <x:v>4</x:v>
      </x:c>
      <x:c r="F460" s="32" t="str"/>
      <x:c r="G460" s="32" t="str">
        <x:v>Учебные курсы для сотрудников</x:v>
      </x:c>
      <x:c r="H460" s="32" t="str">
        <x:v>Time Sheet</x:v>
      </x:c>
      <x:c r="I460" s="32" t="n">
        <x:v>237</x:v>
      </x:c>
      <x:c r="J460" s="32" t="str"/>
    </x:row>
    <x:row r="461" ht="42" customHeight="1">
      <x:c r="A461" s="32" t="str">
        <x:v>Сартаева Гаухар Шыныбековна</x:v>
      </x:c>
      <x:c r="B461" s="32" t="str">
        <x:v>rawToLive</x:v>
      </x:c>
      <x:c r="C461" s="32" t="str">
        <x:v>source_only</x:v>
      </x:c>
      <x:c r="D461" s="32" t="str">
        <x:v>2025-09-04</x:v>
      </x:c>
      <x:c r="E461" s="32" t="n">
        <x:v>8</x:v>
      </x:c>
      <x:c r="F461" s="32" t="str"/>
      <x:c r="G461" s="32" t="str">
        <x:v>АО Экспортно-кредитное агенство Казахстана</x:v>
      </x:c>
      <x:c r="H461" s="32" t="str">
        <x:v>Time Sheet</x:v>
      </x:c>
      <x:c r="I461" s="32" t="n">
        <x:v>238</x:v>
      </x:c>
      <x:c r="J461" s="32" t="str"/>
    </x:row>
    <x:row r="462" ht="42" customHeight="1">
      <x:c r="A462" s="32" t="str">
        <x:v>Сартаева Гаухар Шыныбековна</x:v>
      </x:c>
      <x:c r="B462" s="32" t="str">
        <x:v>rawToLive</x:v>
      </x:c>
      <x:c r="C462" s="32" t="str">
        <x:v>source_only</x:v>
      </x:c>
      <x:c r="D462" s="32" t="str">
        <x:v>2025-09-05</x:v>
      </x:c>
      <x:c r="E462" s="32" t="n">
        <x:v>8</x:v>
      </x:c>
      <x:c r="F462" s="32" t="str"/>
      <x:c r="G462" s="32" t="str">
        <x:v>АО Экспортно-кредитное агенство Казахстана</x:v>
      </x:c>
      <x:c r="H462" s="32" t="str">
        <x:v>Time Sheet</x:v>
      </x:c>
      <x:c r="I462" s="32" t="n">
        <x:v>239</x:v>
      </x:c>
      <x:c r="J462" s="32" t="str"/>
    </x:row>
    <x:row r="463" ht="42" customHeight="1">
      <x:c r="A463" s="32" t="str">
        <x:v>Сартаева Гаухар Шыныбековна</x:v>
      </x:c>
      <x:c r="B463" s="32" t="str">
        <x:v>rawToLive</x:v>
      </x:c>
      <x:c r="C463" s="32" t="str">
        <x:v>source_only</x:v>
      </x:c>
      <x:c r="D463" s="32" t="str">
        <x:v>2025-09-08</x:v>
      </x:c>
      <x:c r="E463" s="32" t="n">
        <x:v>8</x:v>
      </x:c>
      <x:c r="F463" s="32" t="str"/>
      <x:c r="G463" s="32" t="str">
        <x:v>АО Экспортно-кредитное агенство Казахстана</x:v>
      </x:c>
      <x:c r="H463" s="32" t="str">
        <x:v>Time Sheet</x:v>
      </x:c>
      <x:c r="I463" s="32" t="n">
        <x:v>240</x:v>
      </x:c>
      <x:c r="J463" s="32" t="str"/>
    </x:row>
    <x:row r="464" ht="42" customHeight="1">
      <x:c r="A464" s="32" t="str">
        <x:v>Сартаева Гаухар Шыныбековна</x:v>
      </x:c>
      <x:c r="B464" s="32" t="str">
        <x:v>rawToLive</x:v>
      </x:c>
      <x:c r="C464" s="32" t="str">
        <x:v>source_only</x:v>
      </x:c>
      <x:c r="D464" s="32" t="str">
        <x:v>2025-09-09</x:v>
      </x:c>
      <x:c r="E464" s="32" t="n">
        <x:v>4</x:v>
      </x:c>
      <x:c r="F464" s="32" t="str"/>
      <x:c r="G464" s="32" t="str">
        <x:v>АО Экспортно-кредитное агенство Казахстана</x:v>
      </x:c>
      <x:c r="H464" s="32" t="str">
        <x:v>Time Sheet</x:v>
      </x:c>
      <x:c r="I464" s="32" t="n">
        <x:v>241</x:v>
      </x:c>
      <x:c r="J464" s="32" t="str"/>
    </x:row>
    <x:row r="465" ht="42" customHeight="1">
      <x:c r="A465" s="32" t="str">
        <x:v>Сартаева Гаухар Шыныбековна</x:v>
      </x:c>
      <x:c r="B465" s="32" t="str">
        <x:v>rawToLive</x:v>
      </x:c>
      <x:c r="C465" s="32" t="str">
        <x:v>source_only</x:v>
      </x:c>
      <x:c r="D465" s="32" t="str">
        <x:v>2025-09-09</x:v>
      </x:c>
      <x:c r="E465" s="32" t="n">
        <x:v>4</x:v>
      </x:c>
      <x:c r="F465" s="32" t="str"/>
      <x:c r="G465" s="32" t="str">
        <x:v>Учебные курсы для сотрудников</x:v>
      </x:c>
      <x:c r="H465" s="32" t="str">
        <x:v>Time Sheet</x:v>
      </x:c>
      <x:c r="I465" s="32" t="n">
        <x:v>242</x:v>
      </x:c>
      <x:c r="J465" s="32" t="str"/>
    </x:row>
    <x:row r="466" ht="42" customHeight="1">
      <x:c r="A466" s="32" t="str">
        <x:v>Сартаева Гаухар Шыныбековна</x:v>
      </x:c>
      <x:c r="B466" s="32" t="str">
        <x:v>rawToLive</x:v>
      </x:c>
      <x:c r="C466" s="32" t="str">
        <x:v>source_only</x:v>
      </x:c>
      <x:c r="D466" s="32" t="str">
        <x:v>2025-09-10</x:v>
      </x:c>
      <x:c r="E466" s="32" t="n">
        <x:v>2</x:v>
      </x:c>
      <x:c r="F466" s="32" t="str"/>
      <x:c r="G466" s="32" t="str">
        <x:v>АО Экспортно-кредитное агенство Казахстана</x:v>
      </x:c>
      <x:c r="H466" s="32" t="str">
        <x:v>Time Sheet</x:v>
      </x:c>
      <x:c r="I466" s="32" t="n">
        <x:v>243</x:v>
      </x:c>
      <x:c r="J466" s="32" t="str"/>
    </x:row>
    <x:row r="467" ht="42" customHeight="1">
      <x:c r="A467" s="32" t="str">
        <x:v>Сартаева Гаухар Шыныбековна</x:v>
      </x:c>
      <x:c r="B467" s="32" t="str">
        <x:v>rawToLive</x:v>
      </x:c>
      <x:c r="C467" s="32" t="str">
        <x:v>source_only</x:v>
      </x:c>
      <x:c r="D467" s="32" t="str">
        <x:v>2025-09-10</x:v>
      </x:c>
      <x:c r="E467" s="32" t="n">
        <x:v>6</x:v>
      </x:c>
      <x:c r="F467" s="32" t="str"/>
      <x:c r="G467" s="32" t="str">
        <x:v>Учебные курсы для сотрудников</x:v>
      </x:c>
      <x:c r="H467" s="32" t="str">
        <x:v>Time Sheet</x:v>
      </x:c>
      <x:c r="I467" s="32" t="n">
        <x:v>244</x:v>
      </x:c>
      <x:c r="J467" s="32" t="str"/>
    </x:row>
    <x:row r="468" ht="42" customHeight="1">
      <x:c r="A468" s="32" t="str">
        <x:v>Сартаева Гаухар Шыныбековна</x:v>
      </x:c>
      <x:c r="B468" s="32" t="str">
        <x:v>rawToLive</x:v>
      </x:c>
      <x:c r="C468" s="32" t="str">
        <x:v>source_only</x:v>
      </x:c>
      <x:c r="D468" s="32" t="str">
        <x:v>2025-09-11</x:v>
      </x:c>
      <x:c r="E468" s="32" t="n">
        <x:v>8</x:v>
      </x:c>
      <x:c r="F468" s="32" t="str"/>
      <x:c r="G468" s="32" t="str">
        <x:v>АО Экспортно-кредитное агенство Казахстана</x:v>
      </x:c>
      <x:c r="H468" s="32" t="str">
        <x:v>Time Sheet</x:v>
      </x:c>
      <x:c r="I468" s="32" t="n">
        <x:v>245</x:v>
      </x:c>
      <x:c r="J468" s="32" t="str"/>
    </x:row>
    <x:row r="469" ht="42" customHeight="1">
      <x:c r="A469" s="32" t="str">
        <x:v>Сартаева Гаухар Шыныбековна</x:v>
      </x:c>
      <x:c r="B469" s="32" t="str">
        <x:v>rawToLive</x:v>
      </x:c>
      <x:c r="C469" s="32" t="str">
        <x:v>source_only</x:v>
      </x:c>
      <x:c r="D469" s="32" t="str">
        <x:v>2025-09-12</x:v>
      </x:c>
      <x:c r="E469" s="32" t="n">
        <x:v>8</x:v>
      </x:c>
      <x:c r="F469" s="32" t="str"/>
      <x:c r="G469" s="32" t="str">
        <x:v>АО Экспортно-кредитное агенство Казахстана</x:v>
      </x:c>
      <x:c r="H469" s="32" t="str">
        <x:v>Time Sheet</x:v>
      </x:c>
      <x:c r="I469" s="32" t="n">
        <x:v>246</x:v>
      </x:c>
      <x:c r="J469" s="32" t="str"/>
    </x:row>
    <x:row r="470" ht="42" customHeight="1">
      <x:c r="A470" s="32" t="str">
        <x:v>Сартаева Гаухар Шыныбековна</x:v>
      </x:c>
      <x:c r="B470" s="32" t="str">
        <x:v>rawToLive</x:v>
      </x:c>
      <x:c r="C470" s="32" t="str">
        <x:v>source_only</x:v>
      </x:c>
      <x:c r="D470" s="32" t="str">
        <x:v>2025-09-15</x:v>
      </x:c>
      <x:c r="E470" s="32" t="n">
        <x:v>8</x:v>
      </x:c>
      <x:c r="F470" s="32" t="str"/>
      <x:c r="G470" s="32" t="str">
        <x:v>АО Экспортно-кредитное агенство Казахстана</x:v>
      </x:c>
      <x:c r="H470" s="32" t="str">
        <x:v>Time Sheet</x:v>
      </x:c>
      <x:c r="I470" s="32" t="n">
        <x:v>247</x:v>
      </x:c>
      <x:c r="J470" s="32" t="str"/>
    </x:row>
    <x:row r="471" ht="42" customHeight="1">
      <x:c r="A471" s="32" t="str">
        <x:v>Сартаева Гаухар Шыныбековна</x:v>
      </x:c>
      <x:c r="B471" s="32" t="str">
        <x:v>rawToLive</x:v>
      </x:c>
      <x:c r="C471" s="32" t="str">
        <x:v>source_only</x:v>
      </x:c>
      <x:c r="D471" s="32" t="str">
        <x:v>2025-09-16</x:v>
      </x:c>
      <x:c r="E471" s="32" t="n">
        <x:v>4</x:v>
      </x:c>
      <x:c r="F471" s="32" t="str"/>
      <x:c r="G471" s="32" t="str">
        <x:v>АО Экспортно-кредитное агенство Казахстана</x:v>
      </x:c>
      <x:c r="H471" s="32" t="str">
        <x:v>Time Sheet</x:v>
      </x:c>
      <x:c r="I471" s="32" t="n">
        <x:v>248</x:v>
      </x:c>
      <x:c r="J471" s="32" t="str"/>
    </x:row>
    <x:row r="472" ht="42" customHeight="1">
      <x:c r="A472" s="32" t="str">
        <x:v>Сартаева Гаухар Шыныбековна</x:v>
      </x:c>
      <x:c r="B472" s="32" t="str">
        <x:v>rawToLive</x:v>
      </x:c>
      <x:c r="C472" s="32" t="str">
        <x:v>source_only</x:v>
      </x:c>
      <x:c r="D472" s="32" t="str">
        <x:v>2025-09-16</x:v>
      </x:c>
      <x:c r="E472" s="32" t="n">
        <x:v>4</x:v>
      </x:c>
      <x:c r="F472" s="32" t="str"/>
      <x:c r="G472" s="32" t="str">
        <x:v>Учебные курсы для сотрудников</x:v>
      </x:c>
      <x:c r="H472" s="32" t="str">
        <x:v>Time Sheet</x:v>
      </x:c>
      <x:c r="I472" s="32" t="n">
        <x:v>249</x:v>
      </x:c>
      <x:c r="J472" s="32" t="str"/>
    </x:row>
    <x:row r="473" ht="42" customHeight="1">
      <x:c r="A473" s="32" t="str">
        <x:v>Сартаева Гаухар Шыныбековна</x:v>
      </x:c>
      <x:c r="B473" s="32" t="str">
        <x:v>rawToLive</x:v>
      </x:c>
      <x:c r="C473" s="32" t="str">
        <x:v>source_only</x:v>
      </x:c>
      <x:c r="D473" s="32" t="str">
        <x:v>2025-09-17</x:v>
      </x:c>
      <x:c r="E473" s="32" t="n">
        <x:v>8</x:v>
      </x:c>
      <x:c r="F473" s="32" t="str"/>
      <x:c r="G473" s="32" t="str">
        <x:v>АО Экспортно-кредитное агенство Казахстана</x:v>
      </x:c>
      <x:c r="H473" s="32" t="str">
        <x:v>Time Sheet</x:v>
      </x:c>
      <x:c r="I473" s="32" t="n">
        <x:v>250</x:v>
      </x:c>
      <x:c r="J473" s="32" t="str"/>
    </x:row>
    <x:row r="474" ht="42" customHeight="1">
      <x:c r="A474" s="32" t="str">
        <x:v>Сартаева Гаухар Шыныбековна</x:v>
      </x:c>
      <x:c r="B474" s="32" t="str">
        <x:v>rawToLive</x:v>
      </x:c>
      <x:c r="C474" s="32" t="str">
        <x:v>source_only</x:v>
      </x:c>
      <x:c r="D474" s="32" t="str">
        <x:v>2025-09-18</x:v>
      </x:c>
      <x:c r="E474" s="32" t="n">
        <x:v>4</x:v>
      </x:c>
      <x:c r="F474" s="32" t="str"/>
      <x:c r="G474" s="32" t="str">
        <x:v>АО Экспортно-кредитное агенство Казахстана</x:v>
      </x:c>
      <x:c r="H474" s="32" t="str">
        <x:v>Time Sheet</x:v>
      </x:c>
      <x:c r="I474" s="32" t="n">
        <x:v>251</x:v>
      </x:c>
      <x:c r="J474" s="32" t="str"/>
    </x:row>
    <x:row r="475" ht="42" customHeight="1">
      <x:c r="A475" s="32" t="str">
        <x:v>Сартаева Гаухар Шыныбековна</x:v>
      </x:c>
      <x:c r="B475" s="32" t="str">
        <x:v>rawToLive</x:v>
      </x:c>
      <x:c r="C475" s="32" t="str">
        <x:v>source_only</x:v>
      </x:c>
      <x:c r="D475" s="32" t="str">
        <x:v>2025-09-18</x:v>
      </x:c>
      <x:c r="E475" s="32" t="n">
        <x:v>4</x:v>
      </x:c>
      <x:c r="F475" s="32" t="str"/>
      <x:c r="G475" s="32" t="str">
        <x:v>Учебные курсы для сотрудников</x:v>
      </x:c>
      <x:c r="H475" s="32" t="str">
        <x:v>Time Sheet</x:v>
      </x:c>
      <x:c r="I475" s="32" t="n">
        <x:v>252</x:v>
      </x:c>
      <x:c r="J475" s="32" t="str"/>
    </x:row>
    <x:row r="476" ht="42" customHeight="1">
      <x:c r="A476" s="32" t="str">
        <x:v>Сартаева Гаухар Шыныбековна</x:v>
      </x:c>
      <x:c r="B476" s="32" t="str">
        <x:v>rawToLive</x:v>
      </x:c>
      <x:c r="C476" s="32" t="str">
        <x:v>source_only</x:v>
      </x:c>
      <x:c r="D476" s="32" t="str">
        <x:v>2025-09-19</x:v>
      </x:c>
      <x:c r="E476" s="32" t="n">
        <x:v>8</x:v>
      </x:c>
      <x:c r="F476" s="32" t="str"/>
      <x:c r="G476" s="32" t="str">
        <x:v>ТОО ОШЖ</x:v>
      </x:c>
      <x:c r="H476" s="32" t="str">
        <x:v>Time Sheet</x:v>
      </x:c>
      <x:c r="I476" s="32" t="n">
        <x:v>253</x:v>
      </x:c>
      <x:c r="J476" s="32" t="str"/>
    </x:row>
    <x:row r="477" ht="42" customHeight="1">
      <x:c r="A477" s="32" t="str">
        <x:v>Сартаева Гаухар Шыныбековна</x:v>
      </x:c>
      <x:c r="B477" s="32" t="str">
        <x:v>rawToLive</x:v>
      </x:c>
      <x:c r="C477" s="32" t="str">
        <x:v>source_only</x:v>
      </x:c>
      <x:c r="D477" s="32" t="str">
        <x:v>2025-09-22</x:v>
      </x:c>
      <x:c r="E477" s="32" t="n">
        <x:v>8</x:v>
      </x:c>
      <x:c r="F477" s="32" t="str"/>
      <x:c r="G477" s="32" t="str">
        <x:v>ТОО ОШЖ</x:v>
      </x:c>
      <x:c r="H477" s="32" t="str">
        <x:v>Time Sheet</x:v>
      </x:c>
      <x:c r="I477" s="32" t="n">
        <x:v>254</x:v>
      </x:c>
      <x:c r="J477" s="32" t="str"/>
    </x:row>
    <x:row r="478" ht="42" customHeight="1">
      <x:c r="A478" s="32" t="str">
        <x:v>Сартаева Гаухар Шыныбековна</x:v>
      </x:c>
      <x:c r="B478" s="32" t="str">
        <x:v>rawToLive</x:v>
      </x:c>
      <x:c r="C478" s="32" t="str">
        <x:v>source_only</x:v>
      </x:c>
      <x:c r="D478" s="32" t="str">
        <x:v>2025-09-23</x:v>
      </x:c>
      <x:c r="E478" s="32" t="n">
        <x:v>8</x:v>
      </x:c>
      <x:c r="F478" s="32" t="str"/>
      <x:c r="G478" s="32" t="str">
        <x:v>ТОО ОШЖ</x:v>
      </x:c>
      <x:c r="H478" s="32" t="str">
        <x:v>Time Sheet</x:v>
      </x:c>
      <x:c r="I478" s="32" t="n">
        <x:v>255</x:v>
      </x:c>
      <x:c r="J478" s="32" t="str"/>
    </x:row>
    <x:row r="479" ht="42" customHeight="1">
      <x:c r="A479" s="32" t="str">
        <x:v>Сартаева Гаухар Шыныбековна</x:v>
      </x:c>
      <x:c r="B479" s="32" t="str">
        <x:v>rawToLive</x:v>
      </x:c>
      <x:c r="C479" s="32" t="str">
        <x:v>source_only</x:v>
      </x:c>
      <x:c r="D479" s="32" t="str">
        <x:v>2025-09-24</x:v>
      </x:c>
      <x:c r="E479" s="32" t="n">
        <x:v>8</x:v>
      </x:c>
      <x:c r="F479" s="32" t="str"/>
      <x:c r="G479" s="32" t="str">
        <x:v>АО Экспортно-кредитное агенство Казахстана</x:v>
      </x:c>
      <x:c r="H479" s="32" t="str">
        <x:v>Time Sheet</x:v>
      </x:c>
      <x:c r="I479" s="32" t="n">
        <x:v>256</x:v>
      </x:c>
      <x:c r="J479" s="32" t="str"/>
    </x:row>
    <x:row r="480" ht="42" customHeight="1">
      <x:c r="A480" s="32" t="str">
        <x:v>Сартаева Гаухар Шыныбековна</x:v>
      </x:c>
      <x:c r="B480" s="32" t="str">
        <x:v>rawToLive</x:v>
      </x:c>
      <x:c r="C480" s="32" t="str">
        <x:v>source_only</x:v>
      </x:c>
      <x:c r="D480" s="32" t="str">
        <x:v>2025-09-25</x:v>
      </x:c>
      <x:c r="E480" s="32" t="n">
        <x:v>8</x:v>
      </x:c>
      <x:c r="F480" s="32" t="str"/>
      <x:c r="G480" s="32" t="str">
        <x:v>АО Экспортно-кредитное агенство Казахстана</x:v>
      </x:c>
      <x:c r="H480" s="32" t="str">
        <x:v>Time Sheet</x:v>
      </x:c>
      <x:c r="I480" s="32" t="n">
        <x:v>257</x:v>
      </x:c>
      <x:c r="J480" s="32" t="str"/>
    </x:row>
    <x:row r="481" ht="42" customHeight="1">
      <x:c r="A481" s="32" t="str">
        <x:v>Сартаева Гаухар Шыныбековна</x:v>
      </x:c>
      <x:c r="B481" s="32" t="str">
        <x:v>rawToLive</x:v>
      </x:c>
      <x:c r="C481" s="32" t="str">
        <x:v>source_only</x:v>
      </x:c>
      <x:c r="D481" s="32" t="str">
        <x:v>2025-09-26</x:v>
      </x:c>
      <x:c r="E481" s="32" t="n">
        <x:v>8</x:v>
      </x:c>
      <x:c r="F481" s="32" t="str"/>
      <x:c r="G481" s="32" t="str">
        <x:v>АО Экспортно-кредитное агенство Казахстана</x:v>
      </x:c>
      <x:c r="H481" s="32" t="str">
        <x:v>Time Sheet</x:v>
      </x:c>
      <x:c r="I481" s="32" t="n">
        <x:v>258</x:v>
      </x:c>
      <x:c r="J481" s="32" t="str"/>
    </x:row>
    <x:row r="482" ht="42" customHeight="1">
      <x:c r="A482" s="32" t="str">
        <x:v>Сартаева Гаухар Шыныбековна</x:v>
      </x:c>
      <x:c r="B482" s="32" t="str">
        <x:v>rawToLive</x:v>
      </x:c>
      <x:c r="C482" s="32" t="str">
        <x:v>source_only</x:v>
      </x:c>
      <x:c r="D482" s="32" t="str">
        <x:v>2025-09-29</x:v>
      </x:c>
      <x:c r="E482" s="32" t="n">
        <x:v>4</x:v>
      </x:c>
      <x:c r="F482" s="32" t="str"/>
      <x:c r="G482" s="32" t="str">
        <x:v>АО Экспортно-кредитное агенство Казахстана</x:v>
      </x:c>
      <x:c r="H482" s="32" t="str">
        <x:v>Time Sheet</x:v>
      </x:c>
      <x:c r="I482" s="32" t="n">
        <x:v>259</x:v>
      </x:c>
      <x:c r="J482" s="32" t="str"/>
    </x:row>
    <x:row r="483" ht="42" customHeight="1">
      <x:c r="A483" s="32" t="str">
        <x:v>Сартаева Гаухар Шыныбековна</x:v>
      </x:c>
      <x:c r="B483" s="32" t="str">
        <x:v>rawToLive</x:v>
      </x:c>
      <x:c r="C483" s="32" t="str">
        <x:v>source_only</x:v>
      </x:c>
      <x:c r="D483" s="32" t="str">
        <x:v>2025-09-29</x:v>
      </x:c>
      <x:c r="E483" s="32" t="n">
        <x:v>4</x:v>
      </x:c>
      <x:c r="F483" s="32" t="str"/>
      <x:c r="G483" s="32" t="str">
        <x:v>Учебные курсы для сотрудников</x:v>
      </x:c>
      <x:c r="H483" s="32" t="str">
        <x:v>Time Sheet</x:v>
      </x:c>
      <x:c r="I483" s="32" t="n">
        <x:v>260</x:v>
      </x:c>
      <x:c r="J483" s="32" t="str"/>
    </x:row>
    <x:row r="484" ht="42" customHeight="1">
      <x:c r="A484" s="32" t="str">
        <x:v>Сартаева Гаухар Шыныбековна</x:v>
      </x:c>
      <x:c r="B484" s="32" t="str">
        <x:v>rawToLive</x:v>
      </x:c>
      <x:c r="C484" s="32" t="str">
        <x:v>source_only</x:v>
      </x:c>
      <x:c r="D484" s="32" t="str">
        <x:v>2025-09-30</x:v>
      </x:c>
      <x:c r="E484" s="32" t="n">
        <x:v>4</x:v>
      </x:c>
      <x:c r="F484" s="32" t="str"/>
      <x:c r="G484" s="32" t="str">
        <x:v>АО Экспортно-кредитное агенство Казахстана</x:v>
      </x:c>
      <x:c r="H484" s="32" t="str">
        <x:v>Time Sheet</x:v>
      </x:c>
      <x:c r="I484" s="32" t="n">
        <x:v>261</x:v>
      </x:c>
      <x:c r="J484" s="32" t="str"/>
    </x:row>
    <x:row r="485" ht="42" customHeight="1">
      <x:c r="A485" s="32" t="str">
        <x:v>Сартаева Гаухар Шыныбековна</x:v>
      </x:c>
      <x:c r="B485" s="32" t="str">
        <x:v>rawToLive</x:v>
      </x:c>
      <x:c r="C485" s="32" t="str">
        <x:v>source_only</x:v>
      </x:c>
      <x:c r="D485" s="32" t="str">
        <x:v>2025-09-30</x:v>
      </x:c>
      <x:c r="E485" s="32" t="n">
        <x:v>4</x:v>
      </x:c>
      <x:c r="F485" s="32" t="str"/>
      <x:c r="G485" s="32" t="str">
        <x:v>Учебные курсы для сотрудников</x:v>
      </x:c>
      <x:c r="H485" s="32" t="str">
        <x:v>Time Sheet</x:v>
      </x:c>
      <x:c r="I485" s="32" t="n">
        <x:v>262</x:v>
      </x:c>
      <x:c r="J485" s="32" t="str"/>
    </x:row>
    <x:row r="486" ht="42" customHeight="1">
      <x:c r="A486" s="32" t="str">
        <x:v>Сартаева Гаухар Шыныбековна</x:v>
      </x:c>
      <x:c r="B486" s="32" t="str">
        <x:v>rawToLive</x:v>
      </x:c>
      <x:c r="C486" s="32" t="str">
        <x:v>source_only</x:v>
      </x:c>
      <x:c r="D486" s="32" t="str">
        <x:v>2025-10-01</x:v>
      </x:c>
      <x:c r="E486" s="32" t="n">
        <x:v>8</x:v>
      </x:c>
      <x:c r="F486" s="32" t="str"/>
      <x:c r="G486" s="32" t="str">
        <x:v>АО Экспортно-кредитное агенство Казахстана</x:v>
      </x:c>
      <x:c r="H486" s="32" t="str">
        <x:v>Time Sheet</x:v>
      </x:c>
      <x:c r="I486" s="32" t="n">
        <x:v>263</x:v>
      </x:c>
      <x:c r="J486" s="32" t="str"/>
    </x:row>
    <x:row r="487" ht="42" customHeight="1">
      <x:c r="A487" s="32" t="str">
        <x:v>Сартаева Гаухар Шыныбековна</x:v>
      </x:c>
      <x:c r="B487" s="32" t="str">
        <x:v>rawToLive</x:v>
      </x:c>
      <x:c r="C487" s="32" t="str">
        <x:v>source_only</x:v>
      </x:c>
      <x:c r="D487" s="32" t="str">
        <x:v>2025-10-02</x:v>
      </x:c>
      <x:c r="E487" s="32" t="n">
        <x:v>8</x:v>
      </x:c>
      <x:c r="F487" s="32" t="str"/>
      <x:c r="G487" s="32" t="str">
        <x:v>АО Экспортно-кредитное агенство Казахстана</x:v>
      </x:c>
      <x:c r="H487" s="32" t="str">
        <x:v>Time Sheet</x:v>
      </x:c>
      <x:c r="I487" s="32" t="n">
        <x:v>264</x:v>
      </x:c>
      <x:c r="J487" s="32" t="str"/>
    </x:row>
    <x:row r="488" ht="42" customHeight="1">
      <x:c r="A488" s="32" t="str">
        <x:v>Сартаева Гаухар Шыныбековна</x:v>
      </x:c>
      <x:c r="B488" s="32" t="str">
        <x:v>rawToLive</x:v>
      </x:c>
      <x:c r="C488" s="32" t="str">
        <x:v>source_only</x:v>
      </x:c>
      <x:c r="D488" s="32" t="str">
        <x:v>2025-10-03</x:v>
      </x:c>
      <x:c r="E488" s="32" t="n">
        <x:v>8</x:v>
      </x:c>
      <x:c r="F488" s="32" t="str"/>
      <x:c r="G488" s="32" t="str">
        <x:v>АО Экспортно-кредитное агенство Казахстана</x:v>
      </x:c>
      <x:c r="H488" s="32" t="str">
        <x:v>Time Sheet</x:v>
      </x:c>
      <x:c r="I488" s="32" t="n">
        <x:v>265</x:v>
      </x:c>
      <x:c r="J488" s="32" t="str"/>
    </x:row>
    <x:row r="489" ht="42" customHeight="1">
      <x:c r="A489" s="32" t="str">
        <x:v>Сартаева Гаухар Шыныбековна</x:v>
      </x:c>
      <x:c r="B489" s="32" t="str">
        <x:v>rawToLive</x:v>
      </x:c>
      <x:c r="C489" s="32" t="str">
        <x:v>source_only</x:v>
      </x:c>
      <x:c r="D489" s="32" t="str">
        <x:v>2025-10-06</x:v>
      </x:c>
      <x:c r="E489" s="32" t="n">
        <x:v>4</x:v>
      </x:c>
      <x:c r="F489" s="32" t="str"/>
      <x:c r="G489" s="32" t="str">
        <x:v>Учебные курсы для сотрудников</x:v>
      </x:c>
      <x:c r="H489" s="32" t="str">
        <x:v>Time Sheet</x:v>
      </x:c>
      <x:c r="I489" s="32" t="n">
        <x:v>267</x:v>
      </x:c>
      <x:c r="J489" s="32" t="str"/>
    </x:row>
    <x:row r="490" ht="42" customHeight="1">
      <x:c r="A490" s="32" t="str">
        <x:v>Сартаева Гаухар Шыныбековна</x:v>
      </x:c>
      <x:c r="B490" s="32" t="str">
        <x:v>rawToLive</x:v>
      </x:c>
      <x:c r="C490" s="32" t="str">
        <x:v>source_only</x:v>
      </x:c>
      <x:c r="D490" s="32" t="str">
        <x:v>2025-10-07</x:v>
      </x:c>
      <x:c r="E490" s="32" t="n">
        <x:v>4</x:v>
      </x:c>
      <x:c r="F490" s="32" t="str"/>
      <x:c r="G490" s="32" t="str">
        <x:v>Учебные курсы для сотрудников</x:v>
      </x:c>
      <x:c r="H490" s="32" t="str">
        <x:v>Time Sheet</x:v>
      </x:c>
      <x:c r="I490" s="32" t="n">
        <x:v>269</x:v>
      </x:c>
      <x:c r="J490" s="32" t="str"/>
    </x:row>
    <x:row r="491" ht="42" customHeight="1">
      <x:c r="A491" s="32" t="str">
        <x:v>Сартаева Гаухар Шыныбековна</x:v>
      </x:c>
      <x:c r="B491" s="32" t="str">
        <x:v>rawToLive</x:v>
      </x:c>
      <x:c r="C491" s="32" t="str">
        <x:v>source_only</x:v>
      </x:c>
      <x:c r="D491" s="32" t="str">
        <x:v>2025-11-17</x:v>
      </x:c>
      <x:c r="E491" s="32" t="n">
        <x:v>4</x:v>
      </x:c>
      <x:c r="F491" s="32" t="str"/>
      <x:c r="G491" s="32" t="str">
        <x:v>Учебные курсы для сотрудников</x:v>
      </x:c>
      <x:c r="H491" s="32" t="str">
        <x:v>Time Sheet</x:v>
      </x:c>
      <x:c r="I491" s="32" t="n">
        <x:v>298</x:v>
      </x:c>
      <x:c r="J491" s="32" t="str"/>
    </x:row>
    <x:row r="492" ht="42" customHeight="1">
      <x:c r="A492" s="32" t="str">
        <x:v>Сартаева Гаухар Шыныбековна</x:v>
      </x:c>
      <x:c r="B492" s="32" t="str">
        <x:v>rawToLive</x:v>
      </x:c>
      <x:c r="C492" s="32" t="str">
        <x:v>source_only</x:v>
      </x:c>
      <x:c r="D492" s="32" t="str">
        <x:v>2025-11-21</x:v>
      </x:c>
      <x:c r="E492" s="32" t="n">
        <x:v>8</x:v>
      </x:c>
      <x:c r="F492" s="32" t="str"/>
      <x:c r="G492" s="32" t="str">
        <x:v>без содержания</x:v>
      </x:c>
      <x:c r="H492" s="32" t="str">
        <x:v>Time Sheet</x:v>
      </x:c>
      <x:c r="I492" s="32" t="n">
        <x:v>302</x:v>
      </x:c>
      <x:c r="J492" s="32" t="str"/>
    </x:row>
    <x:row r="493" ht="42" customHeight="1">
      <x:c r="A493" s="32" t="str">
        <x:v>Сартаева Гаухар Шыныбековна</x:v>
      </x:c>
      <x:c r="B493" s="32" t="str">
        <x:v>rawToLive</x:v>
      </x:c>
      <x:c r="C493" s="32" t="str">
        <x:v>source_only</x:v>
      </x:c>
      <x:c r="D493" s="32" t="str">
        <x:v>2025-11-27</x:v>
      </x:c>
      <x:c r="E493" s="32" t="n">
        <x:v>4</x:v>
      </x:c>
      <x:c r="F493" s="32" t="str"/>
      <x:c r="G493" s="32" t="str">
        <x:v>Учебные курсы для сотрудников</x:v>
      </x:c>
      <x:c r="H493" s="32" t="str">
        <x:v>Time Sheet</x:v>
      </x:c>
      <x:c r="I493" s="32" t="n">
        <x:v>309</x:v>
      </x:c>
      <x:c r="J493" s="32" t="str"/>
    </x:row>
    <x:row r="494" ht="42" customHeight="1">
      <x:c r="A494" s="32" t="str">
        <x:v>Сартаева Гаухар Шыныбековна</x:v>
      </x:c>
      <x:c r="B494" s="32" t="str">
        <x:v>rawToLive</x:v>
      </x:c>
      <x:c r="C494" s="32" t="str">
        <x:v>source_only</x:v>
      </x:c>
      <x:c r="D494" s="32" t="str">
        <x:v>2025-12-25</x:v>
      </x:c>
      <x:c r="E494" s="32" t="n">
        <x:v>4</x:v>
      </x:c>
      <x:c r="F494" s="32" t="str"/>
      <x:c r="G494" s="32" t="str">
        <x:v>Учебные курсы для сотрудников</x:v>
      </x:c>
      <x:c r="H494" s="32" t="str">
        <x:v>Time Sheet</x:v>
      </x:c>
      <x:c r="I494" s="32" t="n">
        <x:v>330</x:v>
      </x:c>
      <x:c r="J494" s="32" t="str"/>
    </x:row>
    <x:row r="495" ht="42" customHeight="1">
      <x:c r="A495" s="32" t="str">
        <x:v>Сартаева Гаухар Шыныбековна</x:v>
      </x:c>
      <x:c r="B495" s="32" t="str">
        <x:v>rawToLive</x:v>
      </x:c>
      <x:c r="C495" s="32" t="str">
        <x:v>source_only</x:v>
      </x:c>
      <x:c r="D495" s="32" t="str">
        <x:v>2026-02-24</x:v>
      </x:c>
      <x:c r="E495" s="32" t="n">
        <x:v>3</x:v>
      </x:c>
      <x:c r="F495" s="32" t="str"/>
      <x:c r="G495" s="32" t="str">
        <x:v>Учебные курсы для колледжа</x:v>
      </x:c>
      <x:c r="H495" s="32" t="str">
        <x:v>Time Sheet</x:v>
      </x:c>
      <x:c r="I495" s="32" t="n">
        <x:v>376</x:v>
      </x:c>
      <x:c r="J495" s="32" t="str"/>
    </x:row>
    <x:row r="496" ht="42" customHeight="1">
      <x:c r="A496" s="32" t="str">
        <x:v>Сартаева Гаухар Шыныбековна</x:v>
      </x:c>
      <x:c r="B496" s="32" t="str">
        <x:v>rawToLive</x:v>
      </x:c>
      <x:c r="C496" s="32" t="str">
        <x:v>source_only</x:v>
      </x:c>
      <x:c r="D496" s="32" t="str">
        <x:v>2026-02-26</x:v>
      </x:c>
      <x:c r="E496" s="32" t="n">
        <x:v>3</x:v>
      </x:c>
      <x:c r="F496" s="32" t="str"/>
      <x:c r="G496" s="32" t="str">
        <x:v>Учебные курсы для колледжа</x:v>
      </x:c>
      <x:c r="H496" s="32" t="str">
        <x:v>Time Sheet</x:v>
      </x:c>
      <x:c r="I496" s="32" t="n">
        <x:v>379</x:v>
      </x:c>
      <x:c r="J496" s="32" t="str"/>
    </x:row>
    <x:row r="497" ht="42" customHeight="1">
      <x:c r="A497" s="32" t="str">
        <x:v>Сартаева Гаухар Шыныбековна</x:v>
      </x:c>
      <x:c r="B497" s="32" t="str">
        <x:v>rawToLive</x:v>
      </x:c>
      <x:c r="C497" s="32" t="str">
        <x:v>source_only</x:v>
      </x:c>
      <x:c r="D497" s="32" t="str">
        <x:v>2026-03-03</x:v>
      </x:c>
      <x:c r="E497" s="32" t="n">
        <x:v>3</x:v>
      </x:c>
      <x:c r="F497" s="32" t="str"/>
      <x:c r="G497" s="32" t="str">
        <x:v>Учебные курсы для колледжа</x:v>
      </x:c>
      <x:c r="H497" s="32" t="str">
        <x:v>Time Sheet</x:v>
      </x:c>
      <x:c r="I497" s="32" t="n">
        <x:v>385</x:v>
      </x:c>
      <x:c r="J497" s="32" t="str"/>
    </x:row>
    <x:row r="498" ht="42" customHeight="1">
      <x:c r="A498" s="32" t="str">
        <x:v>Сартаева Гаухар Шыныбековна</x:v>
      </x:c>
      <x:c r="B498" s="32" t="str">
        <x:v>rawToLive</x:v>
      </x:c>
      <x:c r="C498" s="32" t="str">
        <x:v>source_only</x:v>
      </x:c>
      <x:c r="D498" s="32" t="str">
        <x:v>2026-03-05</x:v>
      </x:c>
      <x:c r="E498" s="32" t="n">
        <x:v>3</x:v>
      </x:c>
      <x:c r="F498" s="32" t="str"/>
      <x:c r="G498" s="32" t="str">
        <x:v>Учебные курсы для колледжа</x:v>
      </x:c>
      <x:c r="H498" s="32" t="str">
        <x:v>Time Sheet</x:v>
      </x:c>
      <x:c r="I498" s="32" t="n">
        <x:v>389</x:v>
      </x:c>
      <x:c r="J498" s="32" t="str"/>
    </x:row>
    <x:row r="499" ht="42" customHeight="1">
      <x:c r="A499" s="32" t="str">
        <x:v>Сартаева Гаухар Шыныбековна</x:v>
      </x:c>
      <x:c r="B499" s="32" t="str">
        <x:v>rawToLive</x:v>
      </x:c>
      <x:c r="C499" s="32" t="str">
        <x:v>source_only</x:v>
      </x:c>
      <x:c r="D499" s="32" t="str">
        <x:v>2026-04-08</x:v>
      </x:c>
      <x:c r="E499" s="32" t="n">
        <x:v>1</x:v>
      </x:c>
      <x:c r="F499" s="32" t="str"/>
      <x:c r="G499" s="32" t="str">
        <x:v>проект: ОЮЛ АСГДЦА</x:v>
      </x:c>
      <x:c r="H499" s="32" t="str">
        <x:v>Time Sheet</x:v>
      </x:c>
      <x:c r="I499" s="32" t="n">
        <x:v>422</x:v>
      </x:c>
      <x:c r="J499" s="32" t="str"/>
    </x:row>
    <x:row r="500" ht="42" customHeight="1">
      <x:c r="A500" s="32" t="str">
        <x:v>Сартаева Гаухар Шыныбековна</x:v>
      </x:c>
      <x:c r="B500" s="32" t="str">
        <x:v>rawToLive</x:v>
      </x:c>
      <x:c r="C500" s="32" t="str">
        <x:v>source_only</x:v>
      </x:c>
      <x:c r="D500" s="32" t="str">
        <x:v>2026-05-05</x:v>
      </x:c>
      <x:c r="E500" s="32" t="n">
        <x:v>8</x:v>
      </x:c>
      <x:c r="F500" s="32" t="str"/>
      <x:c r="G500" s="32" t="str">
        <x:v>проект: ОЮЛ АСГДЦА</x:v>
      </x:c>
      <x:c r="H500" s="32" t="str">
        <x:v>Time Sheet</x:v>
      </x:c>
      <x:c r="I500" s="32" t="n">
        <x:v>440</x:v>
      </x:c>
      <x:c r="J500" s="32" t="str"/>
    </x:row>
    <x:row r="501" ht="42" customHeight="1">
      <x:c r="A501" s="32" t="str">
        <x:v>Сартаева Гаухар Шыныбековна</x:v>
      </x:c>
      <x:c r="B501" s="32" t="str">
        <x:v>rawToLive</x:v>
      </x:c>
      <x:c r="C501" s="32" t="str">
        <x:v>source_only</x:v>
      </x:c>
      <x:c r="D501" s="32" t="str">
        <x:v>2026-05-06</x:v>
      </x:c>
      <x:c r="E501" s="32" t="n">
        <x:v>8</x:v>
      </x:c>
      <x:c r="F501" s="32" t="str"/>
      <x:c r="G501" s="32" t="str">
        <x:v>проект: ОЮЛ АСГДЦА</x:v>
      </x:c>
      <x:c r="H501" s="32" t="str">
        <x:v>Time Sheet</x:v>
      </x:c>
      <x:c r="I501" s="32" t="n">
        <x:v>441</x:v>
      </x:c>
      <x:c r="J501" s="32" t="str"/>
    </x:row>
    <x:row r="502" ht="42" customHeight="1">
      <x:c r="A502" s="32" t="str">
        <x:v>Сартаева Гаухар Шыныбековна</x:v>
      </x:c>
      <x:c r="B502" s="32" t="str">
        <x:v>rawToLive</x:v>
      </x:c>
      <x:c r="C502" s="32" t="str">
        <x:v>source_only</x:v>
      </x:c>
      <x:c r="D502" s="32" t="str">
        <x:v>2026-05-08</x:v>
      </x:c>
      <x:c r="E502" s="32" t="n">
        <x:v>8</x:v>
      </x:c>
      <x:c r="F502" s="32" t="str"/>
      <x:c r="G502" s="32" t="str">
        <x:v>проект: ОЮЛ АСГДЦА</x:v>
      </x:c>
      <x:c r="H502" s="32" t="str">
        <x:v>Time Sheet</x:v>
      </x:c>
      <x:c r="I502" s="32" t="n">
        <x:v>442</x:v>
      </x:c>
      <x:c r="J502" s="32" t="str"/>
    </x:row>
    <x:row r="503" ht="42" customHeight="1">
      <x:c r="A503" s="32" t="str">
        <x:v>Сартаева Гаухар Шыныбековна</x:v>
      </x:c>
      <x:c r="B503" s="32" t="str">
        <x:v>rawToLive</x:v>
      </x:c>
      <x:c r="C503" s="32" t="str">
        <x:v>source_only</x:v>
      </x:c>
      <x:c r="D503" s="32" t="str">
        <x:v>2026-05-12</x:v>
      </x:c>
      <x:c r="E503" s="32" t="n">
        <x:v>8</x:v>
      </x:c>
      <x:c r="F503" s="32" t="str"/>
      <x:c r="G503" s="32" t="str">
        <x:v>проект: ОЮЛ АСГДЦА</x:v>
      </x:c>
      <x:c r="H503" s="32" t="str">
        <x:v>Time Sheet</x:v>
      </x:c>
      <x:c r="I503" s="32" t="n">
        <x:v>443</x:v>
      </x:c>
      <x:c r="J503" s="32" t="str"/>
    </x:row>
    <x:row r="504" ht="42" customHeight="1">
      <x:c r="A504" s="32" t="str">
        <x:v>Сартаева Гаухар Шыныбековна</x:v>
      </x:c>
      <x:c r="B504" s="32" t="str">
        <x:v>rawToLive</x:v>
      </x:c>
      <x:c r="C504" s="32" t="str">
        <x:v>source_only</x:v>
      </x:c>
      <x:c r="D504" s="32" t="str">
        <x:v>2026-05-20</x:v>
      </x:c>
      <x:c r="E504" s="32" t="n">
        <x:v>8</x:v>
      </x:c>
      <x:c r="F504" s="32" t="str"/>
      <x:c r="G504" s="32" t="str">
        <x:v>проект: ОЮЛ АСГДЦА перевод на англ.язык</x:v>
      </x:c>
      <x:c r="H504" s="32" t="str">
        <x:v>Time Sheet</x:v>
      </x:c>
      <x:c r="I504" s="32" t="n">
        <x:v>449</x:v>
      </x:c>
      <x:c r="J504" s="32" t="str"/>
    </x:row>
    <x:row r="505" ht="42" customHeight="1">
      <x:c r="A505" s="32" t="str">
        <x:v>Сартаева Гаухар Шыныбековна</x:v>
      </x:c>
      <x:c r="B505" s="32" t="str">
        <x:v>rawToLive</x:v>
      </x:c>
      <x:c r="C505" s="32" t="str">
        <x:v>live_only</x:v>
      </x:c>
      <x:c r="D505" s="32" t="str">
        <x:v>2026-02-26</x:v>
      </x:c>
      <x:c r="E505" s="32" t="n">
        <x:v>3</x:v>
      </x:c>
      <x:c r="F505" s="32" t="str">
        <x:v>Административная работа</x:v>
      </x:c>
      <x:c r="G505" s="32" t="str">
        <x:v>Учебные курсы для колледжа</x:v>
      </x:c>
      <x:c r="H505" s="32" t="str">
        <x:v>live batch v3</x:v>
      </x:c>
      <x:c r="I505" s="32" t="n">
        <x:v>51</x:v>
      </x:c>
      <x:c r="J505" s="32" t="str">
        <x:v>approved</x:v>
      </x:c>
    </x:row>
    <x:row r="506" ht="42" customHeight="1">
      <x:c r="A506" s="32" t="str">
        <x:v>Сартаева Гаухар Шыныбековна</x:v>
      </x:c>
      <x:c r="B506" s="32" t="str">
        <x:v>rawToLive</x:v>
      </x:c>
      <x:c r="C506" s="32" t="str">
        <x:v>live_only</x:v>
      </x:c>
      <x:c r="D506" s="32" t="str">
        <x:v>2026-02-24</x:v>
      </x:c>
      <x:c r="E506" s="32" t="n">
        <x:v>3</x:v>
      </x:c>
      <x:c r="F506" s="32" t="str">
        <x:v>Административная работа</x:v>
      </x:c>
      <x:c r="G506" s="32" t="str">
        <x:v>Учебные курсы для колледжа</x:v>
      </x:c>
      <x:c r="H506" s="32" t="str">
        <x:v>live batch v3</x:v>
      </x:c>
      <x:c r="I506" s="32" t="n">
        <x:v>93</x:v>
      </x:c>
      <x:c r="J506" s="32" t="str">
        <x:v>approved</x:v>
      </x:c>
    </x:row>
    <x:row r="507" ht="42" customHeight="1">
      <x:c r="A507" s="32" t="str">
        <x:v>Сартаева Гаухар Шыныбековна</x:v>
      </x:c>
      <x:c r="B507" s="32" t="str">
        <x:v>rawToLive</x:v>
      </x:c>
      <x:c r="C507" s="32" t="str">
        <x:v>live_only</x:v>
      </x:c>
      <x:c r="D507" s="32" t="str">
        <x:v>2026-03-03</x:v>
      </x:c>
      <x:c r="E507" s="32" t="n">
        <x:v>3</x:v>
      </x:c>
      <x:c r="F507" s="32" t="str">
        <x:v>Административная работа</x:v>
      </x:c>
      <x:c r="G507" s="32" t="str">
        <x:v>Учебные курсы для колледжа</x:v>
      </x:c>
      <x:c r="H507" s="32" t="str">
        <x:v>live batch v3</x:v>
      </x:c>
      <x:c r="I507" s="32" t="n">
        <x:v>101</x:v>
      </x:c>
      <x:c r="J507" s="32" t="str">
        <x:v>approved</x:v>
      </x:c>
    </x:row>
    <x:row r="508" ht="42" customHeight="1">
      <x:c r="A508" s="32" t="str">
        <x:v>Сартаева Гаухар Шыныбековна</x:v>
      </x:c>
      <x:c r="B508" s="32" t="str">
        <x:v>rawToLive</x:v>
      </x:c>
      <x:c r="C508" s="32" t="str">
        <x:v>live_only</x:v>
      </x:c>
      <x:c r="D508" s="32" t="str">
        <x:v>2026-03-05</x:v>
      </x:c>
      <x:c r="E508" s="32" t="n">
        <x:v>3</x:v>
      </x:c>
      <x:c r="F508" s="32" t="str">
        <x:v>Административная работа</x:v>
      </x:c>
      <x:c r="G508" s="32" t="str">
        <x:v>Учебные курсы для колледжа</x:v>
      </x:c>
      <x:c r="H508" s="32" t="str">
        <x:v>live batch v3</x:v>
      </x:c>
      <x:c r="I508" s="32" t="n">
        <x:v>105</x:v>
      </x:c>
      <x:c r="J508" s="32" t="str">
        <x:v>approved</x:v>
      </x:c>
    </x:row>
    <x:row r="509" ht="42" customHeight="1">
      <x:c r="A509" s="32" t="str">
        <x:v>Сартаева Гаухар Шыныбековна</x:v>
      </x:c>
      <x:c r="B509" s="32" t="str">
        <x:v>rawToLive</x:v>
      </x:c>
      <x:c r="C509" s="32" t="str">
        <x:v>live_only</x:v>
      </x:c>
      <x:c r="D509" s="32" t="str">
        <x:v>2026-04-08</x:v>
      </x:c>
      <x:c r="E509" s="32" t="n">
        <x:v>1</x:v>
      </x:c>
      <x:c r="F509" s="32" t="str">
        <x:v>ТОО «Проект-ЭнС»</x:v>
      </x:c>
      <x:c r="G509" s="32" t="str">
        <x:v>проект: ОЮЛ АСГДЦА</x:v>
      </x:c>
      <x:c r="H509" s="32" t="str">
        <x:v>live batch v3</x:v>
      </x:c>
      <x:c r="I509" s="32" t="n">
        <x:v>138</x:v>
      </x:c>
      <x:c r="J509" s="32" t="str">
        <x:v>approved</x:v>
      </x:c>
    </x:row>
    <x:row r="510" ht="42" customHeight="1">
      <x:c r="A510" s="32" t="str">
        <x:v>Сартаева Гаухар Шыныбековна</x:v>
      </x:c>
      <x:c r="B510" s="32" t="str">
        <x:v>rawToLive</x:v>
      </x:c>
      <x:c r="C510" s="32" t="str">
        <x:v>live_only</x:v>
      </x:c>
      <x:c r="D510" s="32" t="str">
        <x:v>2026-05-05</x:v>
      </x:c>
      <x:c r="E510" s="32" t="n">
        <x:v>8</x:v>
      </x:c>
      <x:c r="F510" s="32" t="str">
        <x:v>ТОО «Проект-ЭнС»</x:v>
      </x:c>
      <x:c r="G510" s="32" t="str">
        <x:v>проект: ОЮЛ АСГДЦА</x:v>
      </x:c>
      <x:c r="H510" s="32" t="str">
        <x:v>live batch v3</x:v>
      </x:c>
      <x:c r="I510" s="32" t="n">
        <x:v>156</x:v>
      </x:c>
      <x:c r="J510" s="32" t="str">
        <x:v>approved</x:v>
      </x:c>
    </x:row>
    <x:row r="511" ht="42" customHeight="1">
      <x:c r="A511" s="32" t="str">
        <x:v>Сартаева Гаухар Шыныбековна</x:v>
      </x:c>
      <x:c r="B511" s="32" t="str">
        <x:v>rawToLive</x:v>
      </x:c>
      <x:c r="C511" s="32" t="str">
        <x:v>live_only</x:v>
      </x:c>
      <x:c r="D511" s="32" t="str">
        <x:v>2026-05-06</x:v>
      </x:c>
      <x:c r="E511" s="32" t="n">
        <x:v>8</x:v>
      </x:c>
      <x:c r="F511" s="32" t="str">
        <x:v>ТОО «Проект-ЭнС»</x:v>
      </x:c>
      <x:c r="G511" s="32" t="str">
        <x:v>проект: ОЮЛ АСГДЦА</x:v>
      </x:c>
      <x:c r="H511" s="32" t="str">
        <x:v>live batch v3</x:v>
      </x:c>
      <x:c r="I511" s="32" t="n">
        <x:v>157</x:v>
      </x:c>
      <x:c r="J511" s="32" t="str">
        <x:v>approved</x:v>
      </x:c>
    </x:row>
    <x:row r="512" ht="42" customHeight="1">
      <x:c r="A512" s="32" t="str">
        <x:v>Сартаева Гаухар Шыныбековна</x:v>
      </x:c>
      <x:c r="B512" s="32" t="str">
        <x:v>rawToLive</x:v>
      </x:c>
      <x:c r="C512" s="32" t="str">
        <x:v>live_only</x:v>
      </x:c>
      <x:c r="D512" s="32" t="str">
        <x:v>2026-05-08</x:v>
      </x:c>
      <x:c r="E512" s="32" t="n">
        <x:v>8</x:v>
      </x:c>
      <x:c r="F512" s="32" t="str">
        <x:v>ТОО «Проект-ЭнС»</x:v>
      </x:c>
      <x:c r="G512" s="32" t="str">
        <x:v>проект: ОЮЛ АСГДЦА</x:v>
      </x:c>
      <x:c r="H512" s="32" t="str">
        <x:v>live batch v3</x:v>
      </x:c>
      <x:c r="I512" s="32" t="n">
        <x:v>158</x:v>
      </x:c>
      <x:c r="J512" s="32" t="str">
        <x:v>approved</x:v>
      </x:c>
    </x:row>
    <x:row r="513" ht="42" customHeight="1">
      <x:c r="A513" s="32" t="str">
        <x:v>Сартаева Гаухар Шыныбековна</x:v>
      </x:c>
      <x:c r="B513" s="32" t="str">
        <x:v>rawToLive</x:v>
      </x:c>
      <x:c r="C513" s="32" t="str">
        <x:v>live_only</x:v>
      </x:c>
      <x:c r="D513" s="32" t="str">
        <x:v>2026-05-12</x:v>
      </x:c>
      <x:c r="E513" s="32" t="n">
        <x:v>8</x:v>
      </x:c>
      <x:c r="F513" s="32" t="str">
        <x:v>ТОО «Проект-ЭнС»</x:v>
      </x:c>
      <x:c r="G513" s="32" t="str">
        <x:v>проект: ОЮЛ АСГДЦА</x:v>
      </x:c>
      <x:c r="H513" s="32" t="str">
        <x:v>live batch v3</x:v>
      </x:c>
      <x:c r="I513" s="32" t="n">
        <x:v>159</x:v>
      </x:c>
      <x:c r="J513" s="32" t="str">
        <x:v>approved</x:v>
      </x:c>
    </x:row>
    <x:row r="514" ht="42" customHeight="1">
      <x:c r="A514" s="32" t="str">
        <x:v>Сартаева Гаухар Шыныбековна</x:v>
      </x:c>
      <x:c r="B514" s="32" t="str">
        <x:v>rawToLive</x:v>
      </x:c>
      <x:c r="C514" s="32" t="str">
        <x:v>live_only</x:v>
      </x:c>
      <x:c r="D514" s="32" t="str">
        <x:v>2026-05-20</x:v>
      </x:c>
      <x:c r="E514" s="32" t="n">
        <x:v>8</x:v>
      </x:c>
      <x:c r="F514" s="32" t="str">
        <x:v>ТОО «Проект-ЭнС»</x:v>
      </x:c>
      <x:c r="G514" s="32" t="str">
        <x:v>проект: ОЮЛ АСГДЦА перевод на англ.язык</x:v>
      </x:c>
      <x:c r="H514" s="32" t="str">
        <x:v>live batch v3</x:v>
      </x:c>
      <x:c r="I514" s="32" t="n">
        <x:v>165</x:v>
      </x:c>
      <x:c r="J514" s="32" t="str">
        <x:v>approved</x:v>
      </x:c>
    </x:row>
    <x:row r="515" ht="42" customHeight="1">
      <x:c r="A515" s="32" t="str">
        <x:v>Сартаева Гаухар Шыныбековна</x:v>
      </x:c>
      <x:c r="B515" s="32" t="str">
        <x:v>rawToLive</x:v>
      </x:c>
      <x:c r="C515" s="32" t="str">
        <x:v>live_only</x:v>
      </x:c>
      <x:c r="D515" s="32" t="str">
        <x:v>2025-07-08</x:v>
      </x:c>
      <x:c r="E515" s="32" t="n">
        <x:v>6</x:v>
      </x:c>
      <x:c r="F515" s="32" t="str">
        <x:v>АО «АО «ШалкияЦинк ЛТД» (аудит за 2025-2029гг)</x:v>
      </x:c>
      <x:c r="G515" s="32" t="str">
        <x:v>АО Шалкия Цинк</x:v>
      </x:c>
      <x:c r="H515" s="32" t="str">
        <x:v>live batch v3</x:v>
      </x:c>
      <x:c r="I515" s="32" t="n">
        <x:v>179</x:v>
      </x:c>
      <x:c r="J515" s="32" t="str">
        <x:v>approved</x:v>
      </x:c>
    </x:row>
    <x:row r="516" ht="42" customHeight="1">
      <x:c r="A516" s="32" t="str">
        <x:v>Сартаева Гаухар Шыныбековна</x:v>
      </x:c>
      <x:c r="B516" s="32" t="str">
        <x:v>rawToLive</x:v>
      </x:c>
      <x:c r="C516" s="32" t="str">
        <x:v>live_only</x:v>
      </x:c>
      <x:c r="D516" s="32" t="str">
        <x:v>2025-09-11</x:v>
      </x:c>
      <x:c r="E516" s="32" t="n">
        <x:v>8</x:v>
      </x:c>
      <x:c r="F516" s="32" t="str">
        <x:v>АО Экспортно-кредитное агенство Казахстана</x:v>
      </x:c>
      <x:c r="G516" s="32" t="str">
        <x:v>АО Экспортно-кредитное агенство Казахстана</x:v>
      </x:c>
      <x:c r="H516" s="32" t="str">
        <x:v>live batch v3</x:v>
      </x:c>
      <x:c r="I516" s="32" t="n">
        <x:v>180</x:v>
      </x:c>
      <x:c r="J516" s="32" t="str">
        <x:v>approved</x:v>
      </x:c>
    </x:row>
    <x:row r="517" ht="42" customHeight="1">
      <x:c r="A517" s="32" t="str">
        <x:v>Сартаева Гаухар Шыныбековна</x:v>
      </x:c>
      <x:c r="B517" s="32" t="str">
        <x:v>rawToLive</x:v>
      </x:c>
      <x:c r="C517" s="32" t="str">
        <x:v>live_only</x:v>
      </x:c>
      <x:c r="D517" s="32" t="str">
        <x:v>2025-09-29</x:v>
      </x:c>
      <x:c r="E517" s="32" t="n">
        <x:v>4</x:v>
      </x:c>
      <x:c r="F517" s="32" t="str">
        <x:v>АО Экспортно-кредитное агенство Казахстана</x:v>
      </x:c>
      <x:c r="G517" s="32" t="str">
        <x:v>АО Экспортно-кредитное агенство Казахстана</x:v>
      </x:c>
      <x:c r="H517" s="32" t="str">
        <x:v>live batch v3</x:v>
      </x:c>
      <x:c r="I517" s="32" t="n">
        <x:v>181</x:v>
      </x:c>
      <x:c r="J517" s="32" t="str">
        <x:v>approved</x:v>
      </x:c>
    </x:row>
    <x:row r="518" ht="42" customHeight="1">
      <x:c r="A518" s="32" t="str">
        <x:v>Сартаева Гаухар Шыныбековна</x:v>
      </x:c>
      <x:c r="B518" s="32" t="str">
        <x:v>rawToLive</x:v>
      </x:c>
      <x:c r="C518" s="32" t="str">
        <x:v>live_only</x:v>
      </x:c>
      <x:c r="D518" s="32" t="str">
        <x:v>2025-09-09</x:v>
      </x:c>
      <x:c r="E518" s="32" t="n">
        <x:v>4</x:v>
      </x:c>
      <x:c r="F518" s="32" t="str">
        <x:v>Административная работа</x:v>
      </x:c>
      <x:c r="G518" s="32" t="str">
        <x:v>Учебные курсы для сотрудников</x:v>
      </x:c>
      <x:c r="H518" s="32" t="str">
        <x:v>live batch v3</x:v>
      </x:c>
      <x:c r="I518" s="32" t="n">
        <x:v>183</x:v>
      </x:c>
      <x:c r="J518" s="32" t="str">
        <x:v>approved</x:v>
      </x:c>
    </x:row>
    <x:row r="519" ht="42" customHeight="1">
      <x:c r="A519" s="32" t="str">
        <x:v>Сартаева Гаухар Шыныбековна</x:v>
      </x:c>
      <x:c r="B519" s="32" t="str">
        <x:v>rawToLive</x:v>
      </x:c>
      <x:c r="C519" s="32" t="str">
        <x:v>live_only</x:v>
      </x:c>
      <x:c r="D519" s="32" t="str">
        <x:v>2025-09-18</x:v>
      </x:c>
      <x:c r="E519" s="32" t="n">
        <x:v>4</x:v>
      </x:c>
      <x:c r="F519" s="32" t="str">
        <x:v>АО Экспортно-кредитное агенство Казахстана</x:v>
      </x:c>
      <x:c r="G519" s="32" t="str">
        <x:v>АО Экспортно-кредитное агенство Казахстана</x:v>
      </x:c>
      <x:c r="H519" s="32" t="str">
        <x:v>live batch v3</x:v>
      </x:c>
      <x:c r="I519" s="32" t="n">
        <x:v>187</x:v>
      </x:c>
      <x:c r="J519" s="32" t="str">
        <x:v>approved</x:v>
      </x:c>
    </x:row>
    <x:row r="520" ht="42" customHeight="1">
      <x:c r="A520" s="32" t="str">
        <x:v>Сартаева Гаухар Шыныбековна</x:v>
      </x:c>
      <x:c r="B520" s="32" t="str">
        <x:v>rawToLive</x:v>
      </x:c>
      <x:c r="C520" s="32" t="str">
        <x:v>live_only</x:v>
      </x:c>
      <x:c r="D520" s="32" t="str">
        <x:v>2025-08-25</x:v>
      </x:c>
      <x:c r="E520" s="32" t="n">
        <x:v>8</x:v>
      </x:c>
      <x:c r="F520" s="32" t="str">
        <x:v>АО Экспортно-кредитное агенство Казахстана</x:v>
      </x:c>
      <x:c r="G520" s="32" t="str">
        <x:v>АО Экспортно-кредитное агенство Казахстана</x:v>
      </x:c>
      <x:c r="H520" s="32" t="str">
        <x:v>live batch v3</x:v>
      </x:c>
      <x:c r="I520" s="32" t="n">
        <x:v>258</x:v>
      </x:c>
      <x:c r="J520" s="32" t="str">
        <x:v>approved</x:v>
      </x:c>
    </x:row>
    <x:row r="521" ht="42" customHeight="1">
      <x:c r="A521" s="32" t="str">
        <x:v>Сартаева Гаухар Шыныбековна</x:v>
      </x:c>
      <x:c r="B521" s="32" t="str">
        <x:v>rawToLive</x:v>
      </x:c>
      <x:c r="C521" s="32" t="str">
        <x:v>live_only</x:v>
      </x:c>
      <x:c r="D521" s="32" t="str">
        <x:v>2025-08-20</x:v>
      </x:c>
      <x:c r="E521" s="32" t="n">
        <x:v>4</x:v>
      </x:c>
      <x:c r="F521" s="32" t="str">
        <x:v>Административная работа</x:v>
      </x:c>
      <x:c r="G521" s="32" t="str">
        <x:v>Учебные курсы для сотрудников</x:v>
      </x:c>
      <x:c r="H521" s="32" t="str">
        <x:v>live batch v3</x:v>
      </x:c>
      <x:c r="I521" s="32" t="n">
        <x:v>260</x:v>
      </x:c>
      <x:c r="J521" s="32" t="str">
        <x:v>approved</x:v>
      </x:c>
    </x:row>
    <x:row r="522" ht="42" customHeight="1">
      <x:c r="A522" s="32" t="str">
        <x:v>Сартаева Гаухар Шыныбековна</x:v>
      </x:c>
      <x:c r="B522" s="32" t="str">
        <x:v>rawToLive</x:v>
      </x:c>
      <x:c r="C522" s="32" t="str">
        <x:v>live_only</x:v>
      </x:c>
      <x:c r="D522" s="32" t="str">
        <x:v>2025-08-22</x:v>
      </x:c>
      <x:c r="E522" s="32" t="n">
        <x:v>8</x:v>
      </x:c>
      <x:c r="F522" s="32" t="str">
        <x:v>АО Экспортно-кредитное агенство Казахстана</x:v>
      </x:c>
      <x:c r="G522" s="32" t="str">
        <x:v>АО Экспортно-кредитное агенство Казахстана</x:v>
      </x:c>
      <x:c r="H522" s="32" t="str">
        <x:v>live batch v3</x:v>
      </x:c>
      <x:c r="I522" s="32" t="n">
        <x:v>262</x:v>
      </x:c>
      <x:c r="J522" s="32" t="str">
        <x:v>approved</x:v>
      </x:c>
    </x:row>
    <x:row r="523" ht="42" customHeight="1">
      <x:c r="A523" s="32" t="str">
        <x:v>Сартаева Гаухар Шыныбековна</x:v>
      </x:c>
      <x:c r="B523" s="32" t="str">
        <x:v>rawToLive</x:v>
      </x:c>
      <x:c r="C523" s="32" t="str">
        <x:v>live_only</x:v>
      </x:c>
      <x:c r="D523" s="32" t="str">
        <x:v>2025-08-26</x:v>
      </x:c>
      <x:c r="E523" s="32" t="n">
        <x:v>4</x:v>
      </x:c>
      <x:c r="F523" s="32" t="str">
        <x:v>АО Экспортно-кредитное агенство Казахстана</x:v>
      </x:c>
      <x:c r="G523" s="32" t="str">
        <x:v>АО Экспортно-кредитное агенство Казахстана + Жалгизтобемунай (исправление тех.ошибки)</x:v>
      </x:c>
      <x:c r="H523" s="32" t="str">
        <x:v>live batch v3</x:v>
      </x:c>
      <x:c r="I523" s="32" t="n">
        <x:v>268</x:v>
      </x:c>
      <x:c r="J523" s="32" t="str">
        <x:v>approved</x:v>
      </x:c>
    </x:row>
    <x:row r="524" ht="42" customHeight="1">
      <x:c r="A524" s="32" t="str">
        <x:v>Сартаева Гаухар Шыныбековна</x:v>
      </x:c>
      <x:c r="B524" s="32" t="str">
        <x:v>rawToLive</x:v>
      </x:c>
      <x:c r="C524" s="32" t="str">
        <x:v>live_only</x:v>
      </x:c>
      <x:c r="D524" s="32" t="str">
        <x:v>2025-07-03</x:v>
      </x:c>
      <x:c r="E524" s="32" t="n">
        <x:v>8</x:v>
      </x:c>
      <x:c r="F524" s="32" t="str">
        <x:v>АО «АО «ШалкияЦинк ЛТД» (аудит за 2025-2029гг)</x:v>
      </x:c>
      <x:c r="G524" s="32" t="str">
        <x:v>АО Шалкия Цинк</x:v>
      </x:c>
      <x:c r="H524" s="32" t="str">
        <x:v>live batch v3</x:v>
      </x:c>
      <x:c r="I524" s="32" t="n">
        <x:v>274</x:v>
      </x:c>
      <x:c r="J524" s="32" t="str">
        <x:v>approved</x:v>
      </x:c>
    </x:row>
    <x:row r="525" ht="42" customHeight="1">
      <x:c r="A525" s="32" t="str">
        <x:v>Сартаева Гаухар Шыныбековна</x:v>
      </x:c>
      <x:c r="B525" s="32" t="str">
        <x:v>rawToLive</x:v>
      </x:c>
      <x:c r="C525" s="32" t="str">
        <x:v>live_only</x:v>
      </x:c>
      <x:c r="D525" s="32" t="str">
        <x:v>2025-08-01</x:v>
      </x:c>
      <x:c r="E525" s="32" t="n">
        <x:v>8</x:v>
      </x:c>
      <x:c r="F525" s="32" t="str">
        <x:v>АО «АО «ШалкияЦинк ЛТД» (аудит за 2025-2029гг)</x:v>
      </x:c>
      <x:c r="G525" s="32" t="str">
        <x:v>АО Шалкия Цинк раскрытие для консолидаторов</x:v>
      </x:c>
      <x:c r="H525" s="32" t="str">
        <x:v>live batch v3</x:v>
      </x:c>
      <x:c r="I525" s="32" t="n">
        <x:v>276</x:v>
      </x:c>
      <x:c r="J525" s="32" t="str">
        <x:v>approved</x:v>
      </x:c>
    </x:row>
    <x:row r="526" ht="42" customHeight="1">
      <x:c r="A526" s="32" t="str">
        <x:v>Сартаева Гаухар Шыныбековна</x:v>
      </x:c>
      <x:c r="B526" s="32" t="str">
        <x:v>rawToLive</x:v>
      </x:c>
      <x:c r="C526" s="32" t="str">
        <x:v>live_only</x:v>
      </x:c>
      <x:c r="D526" s="32" t="str">
        <x:v>2025-07-02</x:v>
      </x:c>
      <x:c r="E526" s="32" t="n">
        <x:v>8</x:v>
      </x:c>
      <x:c r="F526" s="32" t="str">
        <x:v>АО «АО «ШалкияЦинк ЛТД» (аудит за 2025-2029гг)</x:v>
      </x:c>
      <x:c r="G526" s="32" t="str">
        <x:v>АО Шалкия Цинк</x:v>
      </x:c>
      <x:c r="H526" s="32" t="str">
        <x:v>live batch v3</x:v>
      </x:c>
      <x:c r="I526" s="32" t="n">
        <x:v>282</x:v>
      </x:c>
      <x:c r="J526" s="32" t="str">
        <x:v>approved</x:v>
      </x:c>
    </x:row>
    <x:row r="527" ht="42" customHeight="1">
      <x:c r="A527" s="32" t="str">
        <x:v>Сартаева Гаухар Шыныбековна</x:v>
      </x:c>
      <x:c r="B527" s="32" t="str">
        <x:v>rawToLive</x:v>
      </x:c>
      <x:c r="C527" s="32" t="str">
        <x:v>live_only</x:v>
      </x:c>
      <x:c r="D527" s="32" t="str">
        <x:v>2025-07-29</x:v>
      </x:c>
      <x:c r="E527" s="32" t="n">
        <x:v>8</x:v>
      </x:c>
      <x:c r="F527" s="32" t="str">
        <x:v>АО «АО «ШалкияЦинк ЛТД» (аудит за 2025-2029гг)</x:v>
      </x:c>
      <x:c r="G527" s="32" t="str">
        <x:v>АО Шалкия Цинк раскрытие для консолидаторов</x:v>
      </x:c>
      <x:c r="H527" s="32" t="str">
        <x:v>live batch v3</x:v>
      </x:c>
      <x:c r="I527" s="32" t="n">
        <x:v>293</x:v>
      </x:c>
      <x:c r="J527" s="32" t="str">
        <x:v>approved</x:v>
      </x:c>
    </x:row>
    <x:row r="528" ht="42" customHeight="1">
      <x:c r="A528" s="32" t="str">
        <x:v>Сартаева Гаухар Шыныбековна</x:v>
      </x:c>
      <x:c r="B528" s="32" t="str">
        <x:v>rawToLive</x:v>
      </x:c>
      <x:c r="C528" s="32" t="str">
        <x:v>live_only</x:v>
      </x:c>
      <x:c r="D528" s="32" t="str">
        <x:v>2025-08-21</x:v>
      </x:c>
      <x:c r="E528" s="32" t="n">
        <x:v>8</x:v>
      </x:c>
      <x:c r="F528" s="32" t="str">
        <x:v>АО Экспортно-кредитное агенство Казахстана</x:v>
      </x:c>
      <x:c r="G528" s="32" t="str">
        <x:v>АО Экспортно-кредитное агенство Казахстана</x:v>
      </x:c>
      <x:c r="H528" s="32" t="str">
        <x:v>live batch v3</x:v>
      </x:c>
      <x:c r="I528" s="32" t="n">
        <x:v>295</x:v>
      </x:c>
      <x:c r="J528" s="32" t="str">
        <x:v>approved</x:v>
      </x:c>
    </x:row>
    <x:row r="529" ht="42" customHeight="1">
      <x:c r="A529" s="32" t="str">
        <x:v>Сартаева Гаухар Шыныбековна</x:v>
      </x:c>
      <x:c r="B529" s="32" t="str">
        <x:v>rawToLive</x:v>
      </x:c>
      <x:c r="C529" s="32" t="str">
        <x:v>live_only</x:v>
      </x:c>
      <x:c r="D529" s="32" t="str">
        <x:v>2025-07-08</x:v>
      </x:c>
      <x:c r="E529" s="32" t="n">
        <x:v>2</x:v>
      </x:c>
      <x:c r="F529" s="32" t="str">
        <x:v>АО «АО «ШалкияЦинк ЛТД» (аудит за 2025-2029гг)</x:v>
      </x:c>
      <x:c r="G529" s="32" t="str">
        <x:v>Грант Торонтон касательно АО Шалкия Цинк</x:v>
      </x:c>
      <x:c r="H529" s="32" t="str">
        <x:v>live batch v3</x:v>
      </x:c>
      <x:c r="I529" s="32" t="n">
        <x:v>308</x:v>
      </x:c>
      <x:c r="J529" s="32" t="str">
        <x:v>approved</x:v>
      </x:c>
    </x:row>
    <x:row r="530" ht="42" customHeight="1">
      <x:c r="A530" s="32" t="str">
        <x:v>Сартаева Гаухар Шыныбековна</x:v>
      </x:c>
      <x:c r="B530" s="32" t="str">
        <x:v>rawToLive</x:v>
      </x:c>
      <x:c r="C530" s="32" t="str">
        <x:v>live_only</x:v>
      </x:c>
      <x:c r="D530" s="32" t="str">
        <x:v>2025-07-04</x:v>
      </x:c>
      <x:c r="E530" s="32" t="n">
        <x:v>5</x:v>
      </x:c>
      <x:c r="F530" s="32" t="str">
        <x:v>АО «АО «ШалкияЦинк ЛТД» (аудит за 2025-2029гг)</x:v>
      </x:c>
      <x:c r="G530" s="32" t="str">
        <x:v>АО Шалкия Цинк</x:v>
      </x:c>
      <x:c r="H530" s="32" t="str">
        <x:v>live batch v3</x:v>
      </x:c>
      <x:c r="I530" s="32" t="n">
        <x:v>314</x:v>
      </x:c>
      <x:c r="J530" s="32" t="str">
        <x:v>approved</x:v>
      </x:c>
    </x:row>
    <x:row r="531" ht="42" customHeight="1">
      <x:c r="A531" s="32" t="str">
        <x:v>Сартаева Гаухар Шыныбековна</x:v>
      </x:c>
      <x:c r="B531" s="32" t="str">
        <x:v>rawToLive</x:v>
      </x:c>
      <x:c r="C531" s="32" t="str">
        <x:v>live_only</x:v>
      </x:c>
      <x:c r="D531" s="32" t="str">
        <x:v>2025-09-22</x:v>
      </x:c>
      <x:c r="E531" s="32" t="n">
        <x:v>8</x:v>
      </x:c>
      <x:c r="F531" s="32" t="str">
        <x:v>Административная работа</x:v>
      </x:c>
      <x:c r="G531" s="32" t="str">
        <x:v>ТОО ОШЖ</x:v>
      </x:c>
      <x:c r="H531" s="32" t="str">
        <x:v>live batch v3</x:v>
      </x:c>
      <x:c r="I531" s="32" t="n">
        <x:v>323</x:v>
      </x:c>
      <x:c r="J531" s="32" t="str">
        <x:v>approved</x:v>
      </x:c>
    </x:row>
    <x:row r="532" ht="42" customHeight="1">
      <x:c r="A532" s="32" t="str">
        <x:v>Сартаева Гаухар Шыныбековна</x:v>
      </x:c>
      <x:c r="B532" s="32" t="str">
        <x:v>rawToLive</x:v>
      </x:c>
      <x:c r="C532" s="32" t="str">
        <x:v>live_only</x:v>
      </x:c>
      <x:c r="D532" s="32" t="str">
        <x:v>2025-10-03</x:v>
      </x:c>
      <x:c r="E532" s="32" t="n">
        <x:v>8</x:v>
      </x:c>
      <x:c r="F532" s="32" t="str">
        <x:v>АО Экспортно-кредитное агенство Казахстана</x:v>
      </x:c>
      <x:c r="G532" s="32" t="str">
        <x:v>АО Экспортно-кредитное агенство Казахстана</x:v>
      </x:c>
      <x:c r="H532" s="32" t="str">
        <x:v>live batch v3</x:v>
      </x:c>
      <x:c r="I532" s="32" t="n">
        <x:v>324</x:v>
      </x:c>
      <x:c r="J532" s="32" t="str">
        <x:v>approved</x:v>
      </x:c>
    </x:row>
    <x:row r="533" ht="42" customHeight="1">
      <x:c r="A533" s="32" t="str">
        <x:v>Сартаева Гаухар Шыныбековна</x:v>
      </x:c>
      <x:c r="B533" s="32" t="str">
        <x:v>rawToLive</x:v>
      </x:c>
      <x:c r="C533" s="32" t="str">
        <x:v>live_only</x:v>
      </x:c>
      <x:c r="D533" s="32" t="str">
        <x:v>2025-09-12</x:v>
      </x:c>
      <x:c r="E533" s="32" t="n">
        <x:v>8</x:v>
      </x:c>
      <x:c r="F533" s="32" t="str">
        <x:v>АО Экспортно-кредитное агенство Казахстана</x:v>
      </x:c>
      <x:c r="G533" s="32" t="str">
        <x:v>АО Экспортно-кредитное агенство Казахстана</x:v>
      </x:c>
      <x:c r="H533" s="32" t="str">
        <x:v>live batch v3</x:v>
      </x:c>
      <x:c r="I533" s="32" t="n">
        <x:v>326</x:v>
      </x:c>
      <x:c r="J533" s="32" t="str">
        <x:v>approved</x:v>
      </x:c>
    </x:row>
    <x:row r="534" ht="42" customHeight="1">
      <x:c r="A534" s="32" t="str">
        <x:v>Сартаева Гаухар Шыныбековна</x:v>
      </x:c>
      <x:c r="B534" s="32" t="str">
        <x:v>rawToLive</x:v>
      </x:c>
      <x:c r="C534" s="32" t="str">
        <x:v>live_only</x:v>
      </x:c>
      <x:c r="D534" s="32" t="str">
        <x:v>2025-09-18</x:v>
      </x:c>
      <x:c r="E534" s="32" t="n">
        <x:v>4</x:v>
      </x:c>
      <x:c r="F534" s="32" t="str">
        <x:v>Административная работа</x:v>
      </x:c>
      <x:c r="G534" s="32" t="str">
        <x:v>Учебные курсы для сотрудников</x:v>
      </x:c>
      <x:c r="H534" s="32" t="str">
        <x:v>live batch v3</x:v>
      </x:c>
      <x:c r="I534" s="32" t="n">
        <x:v>327</x:v>
      </x:c>
      <x:c r="J534" s="32" t="str">
        <x:v>approved</x:v>
      </x:c>
    </x:row>
    <x:row r="535" ht="42" customHeight="1">
      <x:c r="A535" s="32" t="str">
        <x:v>Сартаева Гаухар Шыныбековна</x:v>
      </x:c>
      <x:c r="B535" s="32" t="str">
        <x:v>rawToLive</x:v>
      </x:c>
      <x:c r="C535" s="32" t="str">
        <x:v>live_only</x:v>
      </x:c>
      <x:c r="D535" s="32" t="str">
        <x:v>2025-09-19</x:v>
      </x:c>
      <x:c r="E535" s="32" t="n">
        <x:v>8</x:v>
      </x:c>
      <x:c r="F535" s="32" t="str">
        <x:v>Административная работа</x:v>
      </x:c>
      <x:c r="G535" s="32" t="str">
        <x:v>ТОО ОШЖ</x:v>
      </x:c>
      <x:c r="H535" s="32" t="str">
        <x:v>live batch v3</x:v>
      </x:c>
      <x:c r="I535" s="32" t="n">
        <x:v>331</x:v>
      </x:c>
      <x:c r="J535" s="32" t="str">
        <x:v>approved</x:v>
      </x:c>
    </x:row>
    <x:row r="536" ht="42" customHeight="1">
      <x:c r="A536" s="32" t="str">
        <x:v>Сартаева Гаухар Шыныбековна</x:v>
      </x:c>
      <x:c r="B536" s="32" t="str">
        <x:v>rawToLive</x:v>
      </x:c>
      <x:c r="C536" s="32" t="str">
        <x:v>live_only</x:v>
      </x:c>
      <x:c r="D536" s="32" t="str">
        <x:v>2025-09-10</x:v>
      </x:c>
      <x:c r="E536" s="32" t="n">
        <x:v>6</x:v>
      </x:c>
      <x:c r="F536" s="32" t="str">
        <x:v>Административная работа</x:v>
      </x:c>
      <x:c r="G536" s="32" t="str">
        <x:v>Учебные курсы для сотрудников</x:v>
      </x:c>
      <x:c r="H536" s="32" t="str">
        <x:v>live batch v3</x:v>
      </x:c>
      <x:c r="I536" s="32" t="n">
        <x:v>332</x:v>
      </x:c>
      <x:c r="J536" s="32" t="str">
        <x:v>approved</x:v>
      </x:c>
    </x:row>
    <x:row r="537" ht="42" customHeight="1">
      <x:c r="A537" s="32" t="str">
        <x:v>Сартаева Гаухар Шыныбековна</x:v>
      </x:c>
      <x:c r="B537" s="32" t="str">
        <x:v>rawToLive</x:v>
      </x:c>
      <x:c r="C537" s="32" t="str">
        <x:v>live_only</x:v>
      </x:c>
      <x:c r="D537" s="32" t="str">
        <x:v>2025-11-17</x:v>
      </x:c>
      <x:c r="E537" s="32" t="n">
        <x:v>4</x:v>
      </x:c>
      <x:c r="F537" s="32" t="str">
        <x:v>Административная работа</x:v>
      </x:c>
      <x:c r="G537" s="32" t="str">
        <x:v>Учебные курсы для сотрудников</x:v>
      </x:c>
      <x:c r="H537" s="32" t="str">
        <x:v>live batch v3</x:v>
      </x:c>
      <x:c r="I537" s="32" t="n">
        <x:v>337</x:v>
      </x:c>
      <x:c r="J537" s="32" t="str">
        <x:v>approved</x:v>
      </x:c>
    </x:row>
    <x:row r="538" ht="42" customHeight="1">
      <x:c r="A538" s="32" t="str">
        <x:v>Сартаева Гаухар Шыныбековна</x:v>
      </x:c>
      <x:c r="B538" s="32" t="str">
        <x:v>rawToLive</x:v>
      </x:c>
      <x:c r="C538" s="32" t="str">
        <x:v>live_only</x:v>
      </x:c>
      <x:c r="D538" s="32" t="str">
        <x:v>2025-09-23</x:v>
      </x:c>
      <x:c r="E538" s="32" t="n">
        <x:v>8</x:v>
      </x:c>
      <x:c r="F538" s="32" t="str">
        <x:v>Административная работа</x:v>
      </x:c>
      <x:c r="G538" s="32" t="str">
        <x:v>ТОО ОШЖ</x:v>
      </x:c>
      <x:c r="H538" s="32" t="str">
        <x:v>live batch v3</x:v>
      </x:c>
      <x:c r="I538" s="32" t="n">
        <x:v>338</x:v>
      </x:c>
      <x:c r="J538" s="32" t="str">
        <x:v>approved</x:v>
      </x:c>
    </x:row>
    <x:row r="539" ht="42" customHeight="1">
      <x:c r="A539" s="32" t="str">
        <x:v>Сартаева Гаухар Шыныбековна</x:v>
      </x:c>
      <x:c r="B539" s="32" t="str">
        <x:v>rawToLive</x:v>
      </x:c>
      <x:c r="C539" s="32" t="str">
        <x:v>live_only</x:v>
      </x:c>
      <x:c r="D539" s="32" t="str">
        <x:v>2025-10-07</x:v>
      </x:c>
      <x:c r="E539" s="32" t="n">
        <x:v>4</x:v>
      </x:c>
      <x:c r="F539" s="32" t="str">
        <x:v>Административная работа</x:v>
      </x:c>
      <x:c r="G539" s="32" t="str">
        <x:v>Учебные курсы для сотрудников</x:v>
      </x:c>
      <x:c r="H539" s="32" t="str">
        <x:v>live batch v3</x:v>
      </x:c>
      <x:c r="I539" s="32" t="n">
        <x:v>343</x:v>
      </x:c>
      <x:c r="J539" s="32" t="str">
        <x:v>approved</x:v>
      </x:c>
    </x:row>
    <x:row r="540" ht="42" customHeight="1">
      <x:c r="A540" s="32" t="str">
        <x:v>Сартаева Гаухар Шыныбековна</x:v>
      </x:c>
      <x:c r="B540" s="32" t="str">
        <x:v>rawToLive</x:v>
      </x:c>
      <x:c r="C540" s="32" t="str">
        <x:v>live_only</x:v>
      </x:c>
      <x:c r="D540" s="32" t="str">
        <x:v>2025-09-02</x:v>
      </x:c>
      <x:c r="E540" s="32" t="n">
        <x:v>4</x:v>
      </x:c>
      <x:c r="F540" s="32" t="str">
        <x:v>Административная работа</x:v>
      </x:c>
      <x:c r="G540" s="32" t="str">
        <x:v>Учебные курсы для сотрудников</x:v>
      </x:c>
      <x:c r="H540" s="32" t="str">
        <x:v>live batch v3</x:v>
      </x:c>
      <x:c r="I540" s="32" t="n">
        <x:v>344</x:v>
      </x:c>
      <x:c r="J540" s="32" t="str">
        <x:v>approved</x:v>
      </x:c>
    </x:row>
    <x:row r="541" ht="42" customHeight="1">
      <x:c r="A541" s="32" t="str">
        <x:v>Сартаева Гаухар Шыныбековна</x:v>
      </x:c>
      <x:c r="B541" s="32" t="str">
        <x:v>rawToLive</x:v>
      </x:c>
      <x:c r="C541" s="32" t="str">
        <x:v>live_only</x:v>
      </x:c>
      <x:c r="D541" s="32" t="str">
        <x:v>2025-09-26</x:v>
      </x:c>
      <x:c r="E541" s="32" t="n">
        <x:v>8</x:v>
      </x:c>
      <x:c r="F541" s="32" t="str">
        <x:v>АО Экспортно-кредитное агенство Казахстана</x:v>
      </x:c>
      <x:c r="G541" s="32" t="str">
        <x:v>АО Экспортно-кредитное агенство Казахстана</x:v>
      </x:c>
      <x:c r="H541" s="32" t="str">
        <x:v>live batch v3</x:v>
      </x:c>
      <x:c r="I541" s="32" t="n">
        <x:v>346</x:v>
      </x:c>
      <x:c r="J541" s="32" t="str">
        <x:v>approved</x:v>
      </x:c>
    </x:row>
    <x:row r="542" ht="42" customHeight="1">
      <x:c r="A542" s="32" t="str">
        <x:v>Сартаева Гаухар Шыныбековна</x:v>
      </x:c>
      <x:c r="B542" s="32" t="str">
        <x:v>rawToLive</x:v>
      </x:c>
      <x:c r="C542" s="32" t="str">
        <x:v>live_only</x:v>
      </x:c>
      <x:c r="D542" s="32" t="str">
        <x:v>2025-09-30</x:v>
      </x:c>
      <x:c r="E542" s="32" t="n">
        <x:v>4</x:v>
      </x:c>
      <x:c r="F542" s="32" t="str">
        <x:v>АО Экспортно-кредитное агенство Казахстана</x:v>
      </x:c>
      <x:c r="G542" s="32" t="str">
        <x:v>АО Экспортно-кредитное агенство Казахстана</x:v>
      </x:c>
      <x:c r="H542" s="32" t="str">
        <x:v>live batch v3</x:v>
      </x:c>
      <x:c r="I542" s="32" t="n">
        <x:v>347</x:v>
      </x:c>
      <x:c r="J542" s="32" t="str">
        <x:v>approved</x:v>
      </x:c>
    </x:row>
    <x:row r="543" ht="42" customHeight="1">
      <x:c r="A543" s="32" t="str">
        <x:v>Сартаева Гаухар Шыныбековна</x:v>
      </x:c>
      <x:c r="B543" s="32" t="str">
        <x:v>rawToLive</x:v>
      </x:c>
      <x:c r="C543" s="32" t="str">
        <x:v>live_only</x:v>
      </x:c>
      <x:c r="D543" s="32" t="str">
        <x:v>2025-09-29</x:v>
      </x:c>
      <x:c r="E543" s="32" t="n">
        <x:v>4</x:v>
      </x:c>
      <x:c r="F543" s="32" t="str">
        <x:v>Административная работа</x:v>
      </x:c>
      <x:c r="G543" s="32" t="str">
        <x:v>Учебные курсы для сотрудников</x:v>
      </x:c>
      <x:c r="H543" s="32" t="str">
        <x:v>live batch v3</x:v>
      </x:c>
      <x:c r="I543" s="32" t="n">
        <x:v>351</x:v>
      </x:c>
      <x:c r="J543" s="32" t="str">
        <x:v>approved</x:v>
      </x:c>
    </x:row>
    <x:row r="544" ht="42" customHeight="1">
      <x:c r="A544" s="32" t="str">
        <x:v>Сартаева Гаухар Шыныбековна</x:v>
      </x:c>
      <x:c r="B544" s="32" t="str">
        <x:v>rawToLive</x:v>
      </x:c>
      <x:c r="C544" s="32" t="str">
        <x:v>live_only</x:v>
      </x:c>
      <x:c r="D544" s="32" t="str">
        <x:v>2025-08-26</x:v>
      </x:c>
      <x:c r="E544" s="32" t="n">
        <x:v>4</x:v>
      </x:c>
      <x:c r="F544" s="32" t="str">
        <x:v>Административная работа</x:v>
      </x:c>
      <x:c r="G544" s="32" t="str">
        <x:v>Учебные курсы для сотрудников</x:v>
      </x:c>
      <x:c r="H544" s="32" t="str">
        <x:v>live batch v3</x:v>
      </x:c>
      <x:c r="I544" s="32" t="n">
        <x:v>353</x:v>
      </x:c>
      <x:c r="J544" s="32" t="str">
        <x:v>approved</x:v>
      </x:c>
    </x:row>
    <x:row r="545" ht="42" customHeight="1">
      <x:c r="A545" s="32" t="str">
        <x:v>Сартаева Гаухар Шыныбековна</x:v>
      </x:c>
      <x:c r="B545" s="32" t="str">
        <x:v>rawToLive</x:v>
      </x:c>
      <x:c r="C545" s="32" t="str">
        <x:v>live_only</x:v>
      </x:c>
      <x:c r="D545" s="32" t="str">
        <x:v>2025-11-27</x:v>
      </x:c>
      <x:c r="E545" s="32" t="n">
        <x:v>4</x:v>
      </x:c>
      <x:c r="F545" s="32" t="str">
        <x:v>Административная работа</x:v>
      </x:c>
      <x:c r="G545" s="32" t="str">
        <x:v>Учебные курсы для сотрудников</x:v>
      </x:c>
      <x:c r="H545" s="32" t="str">
        <x:v>live batch v3</x:v>
      </x:c>
      <x:c r="I545" s="32" t="n">
        <x:v>359</x:v>
      </x:c>
      <x:c r="J545" s="32" t="str">
        <x:v>approved</x:v>
      </x:c>
    </x:row>
    <x:row r="546" ht="42" customHeight="1">
      <x:c r="A546" s="32" t="str">
        <x:v>Сартаева Гаухар Шыныбековна</x:v>
      </x:c>
      <x:c r="B546" s="32" t="str">
        <x:v>rawToLive</x:v>
      </x:c>
      <x:c r="C546" s="32" t="str">
        <x:v>live_only</x:v>
      </x:c>
      <x:c r="D546" s="32" t="str">
        <x:v>2025-09-09</x:v>
      </x:c>
      <x:c r="E546" s="32" t="n">
        <x:v>4</x:v>
      </x:c>
      <x:c r="F546" s="32" t="str">
        <x:v>АО Экспортно-кредитное агенство Казахстана</x:v>
      </x:c>
      <x:c r="G546" s="32" t="str">
        <x:v>АО Экспортно-кредитное агенство Казахстана</x:v>
      </x:c>
      <x:c r="H546" s="32" t="str">
        <x:v>live batch v3</x:v>
      </x:c>
      <x:c r="I546" s="32" t="n">
        <x:v>360</x:v>
      </x:c>
      <x:c r="J546" s="32" t="str">
        <x:v>approved</x:v>
      </x:c>
    </x:row>
    <x:row r="547" ht="42" customHeight="1">
      <x:c r="A547" s="32" t="str">
        <x:v>Сартаева Гаухар Шыныбековна</x:v>
      </x:c>
      <x:c r="B547" s="32" t="str">
        <x:v>rawToLive</x:v>
      </x:c>
      <x:c r="C547" s="32" t="str">
        <x:v>live_only</x:v>
      </x:c>
      <x:c r="D547" s="32" t="str">
        <x:v>2025-09-03</x:v>
      </x:c>
      <x:c r="E547" s="32" t="n">
        <x:v>4</x:v>
      </x:c>
      <x:c r="F547" s="32" t="str">
        <x:v>Административная работа</x:v>
      </x:c>
      <x:c r="G547" s="32" t="str">
        <x:v>Учебные курсы для сотрудников</x:v>
      </x:c>
      <x:c r="H547" s="32" t="str">
        <x:v>live batch v3</x:v>
      </x:c>
      <x:c r="I547" s="32" t="n">
        <x:v>361</x:v>
      </x:c>
      <x:c r="J547" s="32" t="str">
        <x:v>approved</x:v>
      </x:c>
    </x:row>
    <x:row r="548" ht="42" customHeight="1">
      <x:c r="A548" s="32" t="str">
        <x:v>Сартаева Гаухар Шыныбековна</x:v>
      </x:c>
      <x:c r="B548" s="32" t="str">
        <x:v>rawToLive</x:v>
      </x:c>
      <x:c r="C548" s="32" t="str">
        <x:v>live_only</x:v>
      </x:c>
      <x:c r="D548" s="32" t="str">
        <x:v>2025-08-27</x:v>
      </x:c>
      <x:c r="E548" s="32" t="n">
        <x:v>4</x:v>
      </x:c>
      <x:c r="F548" s="32" t="str">
        <x:v>АО Экспортно-кредитное агенство Казахстана</x:v>
      </x:c>
      <x:c r="G548" s="32" t="str">
        <x:v>АО Экспортно-кредитное агенство Казахстана</x:v>
      </x:c>
      <x:c r="H548" s="32" t="str">
        <x:v>live batch v3</x:v>
      </x:c>
      <x:c r="I548" s="32" t="n">
        <x:v>362</x:v>
      </x:c>
      <x:c r="J548" s="32" t="str">
        <x:v>approved</x:v>
      </x:c>
    </x:row>
    <x:row r="549" ht="42" customHeight="1">
      <x:c r="A549" s="32" t="str">
        <x:v>Сартаева Гаухар Шыныбековна</x:v>
      </x:c>
      <x:c r="B549" s="32" t="str">
        <x:v>rawToLive</x:v>
      </x:c>
      <x:c r="C549" s="32" t="str">
        <x:v>live_only</x:v>
      </x:c>
      <x:c r="D549" s="32" t="str">
        <x:v>2025-10-01</x:v>
      </x:c>
      <x:c r="E549" s="32" t="n">
        <x:v>8</x:v>
      </x:c>
      <x:c r="F549" s="32" t="str">
        <x:v>АО Экспортно-кредитное агенство Казахстана</x:v>
      </x:c>
      <x:c r="G549" s="32" t="str">
        <x:v>АО Экспортно-кредитное агенство Казахстана</x:v>
      </x:c>
      <x:c r="H549" s="32" t="str">
        <x:v>live batch v3</x:v>
      </x:c>
      <x:c r="I549" s="32" t="n">
        <x:v>363</x:v>
      </x:c>
      <x:c r="J549" s="32" t="str">
        <x:v>approved</x:v>
      </x:c>
    </x:row>
    <x:row r="550" ht="42" customHeight="1">
      <x:c r="A550" s="32" t="str">
        <x:v>Сартаева Гаухар Шыныбековна</x:v>
      </x:c>
      <x:c r="B550" s="32" t="str">
        <x:v>rawToLive</x:v>
      </x:c>
      <x:c r="C550" s="32" t="str">
        <x:v>live_only</x:v>
      </x:c>
      <x:c r="D550" s="32" t="str">
        <x:v>2025-09-16</x:v>
      </x:c>
      <x:c r="E550" s="32" t="n">
        <x:v>4</x:v>
      </x:c>
      <x:c r="F550" s="32" t="str">
        <x:v>АО Экспортно-кредитное агенство Казахстана</x:v>
      </x:c>
      <x:c r="G550" s="32" t="str">
        <x:v>АО Экспортно-кредитное агенство Казахстана</x:v>
      </x:c>
      <x:c r="H550" s="32" t="str">
        <x:v>live batch v3</x:v>
      </x:c>
      <x:c r="I550" s="32" t="n">
        <x:v>367</x:v>
      </x:c>
      <x:c r="J550" s="32" t="str">
        <x:v>approved</x:v>
      </x:c>
    </x:row>
    <x:row r="551" ht="42" customHeight="1">
      <x:c r="A551" s="32" t="str">
        <x:v>Сартаева Гаухар Шыныбековна</x:v>
      </x:c>
      <x:c r="B551" s="32" t="str">
        <x:v>rawToLive</x:v>
      </x:c>
      <x:c r="C551" s="32" t="str">
        <x:v>live_only</x:v>
      </x:c>
      <x:c r="D551" s="32" t="str">
        <x:v>2025-09-08</x:v>
      </x:c>
      <x:c r="E551" s="32" t="n">
        <x:v>8</x:v>
      </x:c>
      <x:c r="F551" s="32" t="str">
        <x:v>АО Экспортно-кредитное агенство Казахстана</x:v>
      </x:c>
      <x:c r="G551" s="32" t="str">
        <x:v>АО Экспортно-кредитное агенство Казахстана</x:v>
      </x:c>
      <x:c r="H551" s="32" t="str">
        <x:v>live batch v3</x:v>
      </x:c>
      <x:c r="I551" s="32" t="n">
        <x:v>369</x:v>
      </x:c>
      <x:c r="J551" s="32" t="str">
        <x:v>approved</x:v>
      </x:c>
    </x:row>
    <x:row r="552" ht="42" customHeight="1">
      <x:c r="A552" s="32" t="str">
        <x:v>Сартаева Гаухар Шыныбековна</x:v>
      </x:c>
      <x:c r="B552" s="32" t="str">
        <x:v>rawToLive</x:v>
      </x:c>
      <x:c r="C552" s="32" t="str">
        <x:v>live_only</x:v>
      </x:c>
      <x:c r="D552" s="32" t="str">
        <x:v>2025-09-02</x:v>
      </x:c>
      <x:c r="E552" s="32" t="n">
        <x:v>4</x:v>
      </x:c>
      <x:c r="F552" s="32" t="str">
        <x:v>АО Экспортно-кредитное агенство Казахстана</x:v>
      </x:c>
      <x:c r="G552" s="32" t="str">
        <x:v>АО Экспортно-кредитное агенство Казахстана</x:v>
      </x:c>
      <x:c r="H552" s="32" t="str">
        <x:v>live batch v3</x:v>
      </x:c>
      <x:c r="I552" s="32" t="n">
        <x:v>372</x:v>
      </x:c>
      <x:c r="J552" s="32" t="str">
        <x:v>approved</x:v>
      </x:c>
    </x:row>
    <x:row r="553" ht="42" customHeight="1">
      <x:c r="A553" s="32" t="str">
        <x:v>Сартаева Гаухар Шыныбековна</x:v>
      </x:c>
      <x:c r="B553" s="32" t="str">
        <x:v>rawToLive</x:v>
      </x:c>
      <x:c r="C553" s="32" t="str">
        <x:v>live_only</x:v>
      </x:c>
      <x:c r="D553" s="32" t="str">
        <x:v>2025-09-17</x:v>
      </x:c>
      <x:c r="E553" s="32" t="n">
        <x:v>8</x:v>
      </x:c>
      <x:c r="F553" s="32" t="str">
        <x:v>АО Экспортно-кредитное агенство Казахстана</x:v>
      </x:c>
      <x:c r="G553" s="32" t="str">
        <x:v>АО Экспортно-кредитное агенство Казахстана</x:v>
      </x:c>
      <x:c r="H553" s="32" t="str">
        <x:v>live batch v3</x:v>
      </x:c>
      <x:c r="I553" s="32" t="n">
        <x:v>379</x:v>
      </x:c>
      <x:c r="J553" s="32" t="str">
        <x:v>approved</x:v>
      </x:c>
    </x:row>
    <x:row r="554" ht="42" customHeight="1">
      <x:c r="A554" s="32" t="str">
        <x:v>Сартаева Гаухар Шыныбековна</x:v>
      </x:c>
      <x:c r="B554" s="32" t="str">
        <x:v>rawToLive</x:v>
      </x:c>
      <x:c r="C554" s="32" t="str">
        <x:v>live_only</x:v>
      </x:c>
      <x:c r="D554" s="32" t="str">
        <x:v>2025-10-06</x:v>
      </x:c>
      <x:c r="E554" s="32" t="n">
        <x:v>4</x:v>
      </x:c>
      <x:c r="F554" s="32" t="str">
        <x:v>Административная работа</x:v>
      </x:c>
      <x:c r="G554" s="32" t="str">
        <x:v>Учебные курсы для сотрудников</x:v>
      </x:c>
      <x:c r="H554" s="32" t="str">
        <x:v>live batch v3</x:v>
      </x:c>
      <x:c r="I554" s="32" t="n">
        <x:v>380</x:v>
      </x:c>
      <x:c r="J554" s="32" t="str">
        <x:v>approved</x:v>
      </x:c>
    </x:row>
    <x:row r="555" ht="42" customHeight="1">
      <x:c r="A555" s="32" t="str">
        <x:v>Сартаева Гаухар Шыныбековна</x:v>
      </x:c>
      <x:c r="B555" s="32" t="str">
        <x:v>rawToLive</x:v>
      </x:c>
      <x:c r="C555" s="32" t="str">
        <x:v>live_only</x:v>
      </x:c>
      <x:c r="D555" s="32" t="str">
        <x:v>2025-09-25</x:v>
      </x:c>
      <x:c r="E555" s="32" t="n">
        <x:v>8</x:v>
      </x:c>
      <x:c r="F555" s="32" t="str">
        <x:v>АО Экспортно-кредитное агенство Казахстана</x:v>
      </x:c>
      <x:c r="G555" s="32" t="str">
        <x:v>АО Экспортно-кредитное агенство Казахстана</x:v>
      </x:c>
      <x:c r="H555" s="32" t="str">
        <x:v>live batch v3</x:v>
      </x:c>
      <x:c r="I555" s="32" t="n">
        <x:v>381</x:v>
      </x:c>
      <x:c r="J555" s="32" t="str">
        <x:v>approved</x:v>
      </x:c>
    </x:row>
    <x:row r="556" ht="42" customHeight="1">
      <x:c r="A556" s="32" t="str">
        <x:v>Сартаева Гаухар Шыныбековна</x:v>
      </x:c>
      <x:c r="B556" s="32" t="str">
        <x:v>rawToLive</x:v>
      </x:c>
      <x:c r="C556" s="32" t="str">
        <x:v>live_only</x:v>
      </x:c>
      <x:c r="D556" s="32" t="str">
        <x:v>2025-08-27</x:v>
      </x:c>
      <x:c r="E556" s="32" t="n">
        <x:v>4</x:v>
      </x:c>
      <x:c r="F556" s="32" t="str">
        <x:v>Административная работа</x:v>
      </x:c>
      <x:c r="G556" s="32" t="str">
        <x:v>Учебные курсы для сотрудников</x:v>
      </x:c>
      <x:c r="H556" s="32" t="str">
        <x:v>live batch v3</x:v>
      </x:c>
      <x:c r="I556" s="32" t="n">
        <x:v>382</x:v>
      </x:c>
      <x:c r="J556" s="32" t="str">
        <x:v>approved</x:v>
      </x:c>
    </x:row>
    <x:row r="557" ht="42" customHeight="1">
      <x:c r="A557" s="32" t="str">
        <x:v>Сартаева Гаухар Шыныбековна</x:v>
      </x:c>
      <x:c r="B557" s="32" t="str">
        <x:v>rawToLive</x:v>
      </x:c>
      <x:c r="C557" s="32" t="str">
        <x:v>live_only</x:v>
      </x:c>
      <x:c r="D557" s="32" t="str">
        <x:v>2025-08-28</x:v>
      </x:c>
      <x:c r="E557" s="32" t="n">
        <x:v>8</x:v>
      </x:c>
      <x:c r="F557" s="32" t="str">
        <x:v>АО Экспортно-кредитное агенство Казахстана</x:v>
      </x:c>
      <x:c r="G557" s="32" t="str">
        <x:v>АО Экспортно-кредитное агенство Казахстана</x:v>
      </x:c>
      <x:c r="H557" s="32" t="str">
        <x:v>live batch v3</x:v>
      </x:c>
      <x:c r="I557" s="32" t="n">
        <x:v>383</x:v>
      </x:c>
      <x:c r="J557" s="32" t="str">
        <x:v>approved</x:v>
      </x:c>
    </x:row>
    <x:row r="558" ht="42" customHeight="1">
      <x:c r="A558" s="32" t="str">
        <x:v>Сартаева Гаухар Шыныбековна</x:v>
      </x:c>
      <x:c r="B558" s="32" t="str">
        <x:v>rawToLive</x:v>
      </x:c>
      <x:c r="C558" s="32" t="str">
        <x:v>live_only</x:v>
      </x:c>
      <x:c r="D558" s="32" t="str">
        <x:v>2025-09-16</x:v>
      </x:c>
      <x:c r="E558" s="32" t="n">
        <x:v>4</x:v>
      </x:c>
      <x:c r="F558" s="32" t="str">
        <x:v>Административная работа</x:v>
      </x:c>
      <x:c r="G558" s="32" t="str">
        <x:v>Учебные курсы для сотрудников</x:v>
      </x:c>
      <x:c r="H558" s="32" t="str">
        <x:v>live batch v3</x:v>
      </x:c>
      <x:c r="I558" s="32" t="n">
        <x:v>387</x:v>
      </x:c>
      <x:c r="J558" s="32" t="str">
        <x:v>approved</x:v>
      </x:c>
    </x:row>
    <x:row r="559" ht="42" customHeight="1">
      <x:c r="A559" s="32" t="str">
        <x:v>Сартаева Гаухар Шыныбековна</x:v>
      </x:c>
      <x:c r="B559" s="32" t="str">
        <x:v>rawToLive</x:v>
      </x:c>
      <x:c r="C559" s="32" t="str">
        <x:v>live_only</x:v>
      </x:c>
      <x:c r="D559" s="32" t="str">
        <x:v>2025-09-03</x:v>
      </x:c>
      <x:c r="E559" s="32" t="n">
        <x:v>4</x:v>
      </x:c>
      <x:c r="F559" s="32" t="str">
        <x:v>АО Экспортно-кредитное агенство Казахстана</x:v>
      </x:c>
      <x:c r="G559" s="32" t="str">
        <x:v>АО Экспортно-кредитное агенство Казахстана</x:v>
      </x:c>
      <x:c r="H559" s="32" t="str">
        <x:v>live batch v3</x:v>
      </x:c>
      <x:c r="I559" s="32" t="n">
        <x:v>391</x:v>
      </x:c>
      <x:c r="J559" s="32" t="str">
        <x:v>approved</x:v>
      </x:c>
    </x:row>
    <x:row r="560" ht="42" customHeight="1">
      <x:c r="A560" s="32" t="str">
        <x:v>Сартаева Гаухар Шыныбековна</x:v>
      </x:c>
      <x:c r="B560" s="32" t="str">
        <x:v>rawToLive</x:v>
      </x:c>
      <x:c r="C560" s="32" t="str">
        <x:v>live_only</x:v>
      </x:c>
      <x:c r="D560" s="32" t="str">
        <x:v>2025-09-30</x:v>
      </x:c>
      <x:c r="E560" s="32" t="n">
        <x:v>4</x:v>
      </x:c>
      <x:c r="F560" s="32" t="str">
        <x:v>Административная работа</x:v>
      </x:c>
      <x:c r="G560" s="32" t="str">
        <x:v>Учебные курсы для сотрудников</x:v>
      </x:c>
      <x:c r="H560" s="32" t="str">
        <x:v>live batch v3</x:v>
      </x:c>
      <x:c r="I560" s="32" t="n">
        <x:v>392</x:v>
      </x:c>
      <x:c r="J560" s="32" t="str">
        <x:v>approved</x:v>
      </x:c>
    </x:row>
    <x:row r="561" ht="42" customHeight="1">
      <x:c r="A561" s="32" t="str">
        <x:v>Сартаева Гаухар Шыныбековна</x:v>
      </x:c>
      <x:c r="B561" s="32" t="str">
        <x:v>rawToLive</x:v>
      </x:c>
      <x:c r="C561" s="32" t="str">
        <x:v>live_only</x:v>
      </x:c>
      <x:c r="D561" s="32" t="str">
        <x:v>2025-10-02</x:v>
      </x:c>
      <x:c r="E561" s="32" t="n">
        <x:v>8</x:v>
      </x:c>
      <x:c r="F561" s="32" t="str">
        <x:v>АО Экспортно-кредитное агенство Казахстана</x:v>
      </x:c>
      <x:c r="G561" s="32" t="str">
        <x:v>АО Экспортно-кредитное агенство Казахстана</x:v>
      </x:c>
      <x:c r="H561" s="32" t="str">
        <x:v>live batch v3</x:v>
      </x:c>
      <x:c r="I561" s="32" t="n">
        <x:v>393</x:v>
      </x:c>
      <x:c r="J561" s="32" t="str">
        <x:v>approved</x:v>
      </x:c>
    </x:row>
    <x:row r="562" ht="42" customHeight="1">
      <x:c r="A562" s="32" t="str">
        <x:v>Сартаева Гаухар Шыныбековна</x:v>
      </x:c>
      <x:c r="B562" s="32" t="str">
        <x:v>rawToLive</x:v>
      </x:c>
      <x:c r="C562" s="32" t="str">
        <x:v>live_only</x:v>
      </x:c>
      <x:c r="D562" s="32" t="str">
        <x:v>2025-11-21</x:v>
      </x:c>
      <x:c r="E562" s="32" t="n">
        <x:v>8</x:v>
      </x:c>
      <x:c r="F562" s="32" t="str">
        <x:v>Административная работа</x:v>
      </x:c>
      <x:c r="G562" s="32" t="str">
        <x:v>без содержания</x:v>
      </x:c>
      <x:c r="H562" s="32" t="str">
        <x:v>live batch v3</x:v>
      </x:c>
      <x:c r="I562" s="32" t="n">
        <x:v>395</x:v>
      </x:c>
      <x:c r="J562" s="32" t="str">
        <x:v>approved</x:v>
      </x:c>
    </x:row>
    <x:row r="563" ht="42" customHeight="1">
      <x:c r="A563" s="32" t="str">
        <x:v>Сартаева Гаухар Шыныбековна</x:v>
      </x:c>
      <x:c r="B563" s="32" t="str">
        <x:v>rawToLive</x:v>
      </x:c>
      <x:c r="C563" s="32" t="str">
        <x:v>live_only</x:v>
      </x:c>
      <x:c r="D563" s="32" t="str">
        <x:v>2025-09-15</x:v>
      </x:c>
      <x:c r="E563" s="32" t="n">
        <x:v>8</x:v>
      </x:c>
      <x:c r="F563" s="32" t="str">
        <x:v>АО Экспортно-кредитное агенство Казахстана</x:v>
      </x:c>
      <x:c r="G563" s="32" t="str">
        <x:v>АО Экспортно-кредитное агенство Казахстана</x:v>
      </x:c>
      <x:c r="H563" s="32" t="str">
        <x:v>live batch v3</x:v>
      </x:c>
      <x:c r="I563" s="32" t="n">
        <x:v>402</x:v>
      </x:c>
      <x:c r="J563" s="32" t="str">
        <x:v>approved</x:v>
      </x:c>
    </x:row>
    <x:row r="564" ht="42" customHeight="1">
      <x:c r="A564" s="32" t="str">
        <x:v>Сартаева Гаухар Шыныбековна</x:v>
      </x:c>
      <x:c r="B564" s="32" t="str">
        <x:v>rawToLive</x:v>
      </x:c>
      <x:c r="C564" s="32" t="str">
        <x:v>live_only</x:v>
      </x:c>
      <x:c r="D564" s="32" t="str">
        <x:v>2025-09-10</x:v>
      </x:c>
      <x:c r="E564" s="32" t="n">
        <x:v>2</x:v>
      </x:c>
      <x:c r="F564" s="32" t="str">
        <x:v>АО Экспортно-кредитное агенство Казахстана</x:v>
      </x:c>
      <x:c r="G564" s="32" t="str">
        <x:v>АО Экспортно-кредитное агенство Казахстана</x:v>
      </x:c>
      <x:c r="H564" s="32" t="str">
        <x:v>live batch v3</x:v>
      </x:c>
      <x:c r="I564" s="32" t="n">
        <x:v>403</x:v>
      </x:c>
      <x:c r="J564" s="32" t="str">
        <x:v>approved</x:v>
      </x:c>
    </x:row>
    <x:row r="565" ht="42" customHeight="1">
      <x:c r="A565" s="32" t="str">
        <x:v>Сартаева Гаухар Шыныбековна</x:v>
      </x:c>
      <x:c r="B565" s="32" t="str">
        <x:v>rawToLive</x:v>
      </x:c>
      <x:c r="C565" s="32" t="str">
        <x:v>live_only</x:v>
      </x:c>
      <x:c r="D565" s="32" t="str">
        <x:v>2025-09-24</x:v>
      </x:c>
      <x:c r="E565" s="32" t="n">
        <x:v>8</x:v>
      </x:c>
      <x:c r="F565" s="32" t="str">
        <x:v>АО Экспортно-кредитное агенство Казахстана</x:v>
      </x:c>
      <x:c r="G565" s="32" t="str">
        <x:v>АО Экспортно-кредитное агенство Казахстана</x:v>
      </x:c>
      <x:c r="H565" s="32" t="str">
        <x:v>live batch v3</x:v>
      </x:c>
      <x:c r="I565" s="32" t="n">
        <x:v>405</x:v>
      </x:c>
      <x:c r="J565" s="32" t="str">
        <x:v>approved</x:v>
      </x:c>
    </x:row>
    <x:row r="566" ht="42" customHeight="1">
      <x:c r="A566" s="32" t="str">
        <x:v>Сартаева Гаухар Шыныбековна</x:v>
      </x:c>
      <x:c r="B566" s="32" t="str">
        <x:v>rawToLive</x:v>
      </x:c>
      <x:c r="C566" s="32" t="str">
        <x:v>live_only</x:v>
      </x:c>
      <x:c r="D566" s="32" t="str">
        <x:v>2025-06-24</x:v>
      </x:c>
      <x:c r="E566" s="32" t="n">
        <x:v>8</x:v>
      </x:c>
      <x:c r="F566" s="32" t="str">
        <x:v>АО «АО «ШалкияЦинк ЛТД» (аудит за 2025-2029гг)</x:v>
      </x:c>
      <x:c r="G566" s="32" t="str">
        <x:v>АО Шалкия Цинк</x:v>
      </x:c>
      <x:c r="H566" s="32" t="str">
        <x:v>live batch v3</x:v>
      </x:c>
      <x:c r="I566" s="32" t="n">
        <x:v>436</x:v>
      </x:c>
      <x:c r="J566" s="32" t="str">
        <x:v>approved</x:v>
      </x:c>
    </x:row>
    <x:row r="567" ht="42" customHeight="1">
      <x:c r="A567" s="32" t="str">
        <x:v>Сартаева Гаухар Шыныбековна</x:v>
      </x:c>
      <x:c r="B567" s="32" t="str">
        <x:v>rawToLive</x:v>
      </x:c>
      <x:c r="C567" s="32" t="str">
        <x:v>live_only</x:v>
      </x:c>
      <x:c r="D567" s="32" t="str">
        <x:v>2025-06-25</x:v>
      </x:c>
      <x:c r="E567" s="32" t="n">
        <x:v>8</x:v>
      </x:c>
      <x:c r="F567" s="32" t="str">
        <x:v>АО «АО «ШалкияЦинк ЛТД» (аудит за 2025-2029гг)</x:v>
      </x:c>
      <x:c r="G567" s="32" t="str">
        <x:v>АО Шалкия Цинк</x:v>
      </x:c>
      <x:c r="H567" s="32" t="str">
        <x:v>live batch v3</x:v>
      </x:c>
      <x:c r="I567" s="32" t="n">
        <x:v>437</x:v>
      </x:c>
      <x:c r="J567" s="32" t="str">
        <x:v>approved</x:v>
      </x:c>
    </x:row>
    <x:row r="568" ht="42" customHeight="1">
      <x:c r="A568" s="32" t="str">
        <x:v>Сартаева Гаухар Шыныбековна</x:v>
      </x:c>
      <x:c r="B568" s="32" t="str">
        <x:v>rawToLive</x:v>
      </x:c>
      <x:c r="C568" s="32" t="str">
        <x:v>live_only</x:v>
      </x:c>
      <x:c r="D568" s="32" t="str">
        <x:v>2025-06-23</x:v>
      </x:c>
      <x:c r="E568" s="32" t="n">
        <x:v>8</x:v>
      </x:c>
      <x:c r="F568" s="32" t="str">
        <x:v>АО «АО «ШалкияЦинк ЛТД» (аудит за 2025-2029гг)</x:v>
      </x:c>
      <x:c r="G568" s="32" t="str">
        <x:v>АО Шалкия Цинк</x:v>
      </x:c>
      <x:c r="H568" s="32" t="str">
        <x:v>live batch v3</x:v>
      </x:c>
      <x:c r="I568" s="32" t="n">
        <x:v>438</x:v>
      </x:c>
      <x:c r="J568" s="32" t="str">
        <x:v>approved</x:v>
      </x:c>
    </x:row>
    <x:row r="569" ht="42" customHeight="1">
      <x:c r="A569" s="32" t="str">
        <x:v>Сартаева Гаухар Шыныбековна</x:v>
      </x:c>
      <x:c r="B569" s="32" t="str">
        <x:v>rawToLive</x:v>
      </x:c>
      <x:c r="C569" s="32" t="str">
        <x:v>live_only</x:v>
      </x:c>
      <x:c r="D569" s="32" t="str">
        <x:v>2025-06-26</x:v>
      </x:c>
      <x:c r="E569" s="32" t="n">
        <x:v>8</x:v>
      </x:c>
      <x:c r="F569" s="32" t="str">
        <x:v>АО «АО «ШалкияЦинк ЛТД» (аудит за 2025-2029гг)</x:v>
      </x:c>
      <x:c r="G569" s="32" t="str">
        <x:v>АО Шалкия Цинк</x:v>
      </x:c>
      <x:c r="H569" s="32" t="str">
        <x:v>live batch v3</x:v>
      </x:c>
      <x:c r="I569" s="32" t="n">
        <x:v>439</x:v>
      </x:c>
      <x:c r="J569" s="32" t="str">
        <x:v>approved</x:v>
      </x:c>
    </x:row>
    <x:row r="570" ht="42" customHeight="1">
      <x:c r="A570" s="32" t="str">
        <x:v>Сартаева Гаухар Шыныбековна</x:v>
      </x:c>
      <x:c r="B570" s="32" t="str">
        <x:v>rawToLive</x:v>
      </x:c>
      <x:c r="C570" s="32" t="str">
        <x:v>live_only</x:v>
      </x:c>
      <x:c r="D570" s="32" t="str">
        <x:v>2025-09-04</x:v>
      </x:c>
      <x:c r="E570" s="32" t="n">
        <x:v>8</x:v>
      </x:c>
      <x:c r="F570" s="32" t="str">
        <x:v>АО Экспортно-кредитное агенство Казахстана</x:v>
      </x:c>
      <x:c r="G570" s="32" t="str">
        <x:v>АО Экспортно-кредитное агенство Казахстана</x:v>
      </x:c>
      <x:c r="H570" s="32" t="str">
        <x:v>live batch v3</x:v>
      </x:c>
      <x:c r="I570" s="32" t="n">
        <x:v>443</x:v>
      </x:c>
      <x:c r="J570" s="32" t="str">
        <x:v>approved</x:v>
      </x:c>
    </x:row>
    <x:row r="571" ht="42" customHeight="1">
      <x:c r="A571" s="32" t="str">
        <x:v>Сартаева Гаухар Шыныбековна</x:v>
      </x:c>
      <x:c r="B571" s="32" t="str">
        <x:v>rawToLive</x:v>
      </x:c>
      <x:c r="C571" s="32" t="str">
        <x:v>live_only</x:v>
      </x:c>
      <x:c r="D571" s="32" t="str">
        <x:v>2025-09-05</x:v>
      </x:c>
      <x:c r="E571" s="32" t="n">
        <x:v>8</x:v>
      </x:c>
      <x:c r="F571" s="32" t="str">
        <x:v>АО Экспортно-кредитное агенство Казахстана</x:v>
      </x:c>
      <x:c r="G571" s="32" t="str">
        <x:v>АО Экспортно-кредитное агенство Казахстана</x:v>
      </x:c>
      <x:c r="H571" s="32" t="str">
        <x:v>live batch v3</x:v>
      </x:c>
      <x:c r="I571" s="32" t="n">
        <x:v>444</x:v>
      </x:c>
      <x:c r="J571" s="32" t="str">
        <x:v>approved</x:v>
      </x:c>
    </x:row>
    <x:row r="572" ht="42" customHeight="1">
      <x:c r="A572" s="32" t="str">
        <x:v>Сартаева Гаухар Шыныбековна</x:v>
      </x:c>
      <x:c r="B572" s="32" t="str">
        <x:v>rawToLive</x:v>
      </x:c>
      <x:c r="C572" s="32" t="str">
        <x:v>live_only</x:v>
      </x:c>
      <x:c r="D572" s="32" t="str">
        <x:v>2025-08-29</x:v>
      </x:c>
      <x:c r="E572" s="32" t="n">
        <x:v>8</x:v>
      </x:c>
      <x:c r="F572" s="32" t="str">
        <x:v>АО Экспортно-кредитное агенство Казахстана</x:v>
      </x:c>
      <x:c r="G572" s="32" t="str">
        <x:v>АО Экспортно-кредитное агенство Казахстана</x:v>
      </x:c>
      <x:c r="H572" s="32" t="str">
        <x:v>live batch v3</x:v>
      </x:c>
      <x:c r="I572" s="32" t="n">
        <x:v>445</x:v>
      </x:c>
      <x:c r="J572" s="32" t="str">
        <x:v>approved</x:v>
      </x:c>
    </x:row>
    <x:row r="573" ht="42" customHeight="1">
      <x:c r="A573" s="32" t="str">
        <x:v>Сартаева Гаухар Шыныбековна</x:v>
      </x:c>
      <x:c r="B573" s="32" t="str">
        <x:v>rawToLive</x:v>
      </x:c>
      <x:c r="C573" s="32" t="str">
        <x:v>live_only</x:v>
      </x:c>
      <x:c r="D573" s="32" t="str">
        <x:v>2025-12-25</x:v>
      </x:c>
      <x:c r="E573" s="32" t="n">
        <x:v>4</x:v>
      </x:c>
      <x:c r="F573" s="32" t="str">
        <x:v>Административная работа</x:v>
      </x:c>
      <x:c r="G573" s="32" t="str">
        <x:v>Учебные курсы для сотрудников</x:v>
      </x:c>
      <x:c r="H573" s="32" t="str">
        <x:v>live batch v3</x:v>
      </x:c>
      <x:c r="I573" s="32" t="n">
        <x:v>450</x:v>
      </x:c>
      <x:c r="J573" s="32" t="str">
        <x:v>approved</x:v>
      </x:c>
    </x:row>
  </x:sheetData>
  <x:mergeCells>
    <x:mergeCell ref="A1:J1"/>
    <x:mergeCell ref="A2:J2"/>
  </x:mergeCells>
  <x:conditionalFormatting sqref="J5:J573">
    <x:cfRule type="containsText" dxfId="24" priority="1" operator="containsText" text="confirmed"/>
    <x:cfRule type="containsText" dxfId="25" priority="2" operator="containsText" text="conflict"/>
    <x:cfRule type="containsText" dxfId="26" priority="3" operator="containsText" text="needs"/>
    <x:cfRule type="containsText" dxfId="27" priority="4" operator="containsText" text="mismatch"/>
  </x:conditionalFormatting>
  <x:pageMargins left="0.7" right="0.7" top="0.75" bottom="0.75" header="0.3" footer="0.3"/>
  <x:tableParts count="1">
    <x:tablePart xmlns:r="http://schemas.openxmlformats.org/officeDocument/2006/relationships" r:id="Rd081e4bb5b4f45e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20" hidden="0" customWidth="1"/>
    <x:col min="4" max="4" width="8" hidden="0" customWidth="1"/>
    <x:col min="5" max="5" width="30" hidden="0" customWidth="1"/>
    <x:col min="6" max="6" width="28" hidden="0" customWidth="1"/>
    <x:col min="7" max="7" width="18" hidden="0" customWidth="1"/>
    <x:col min="8" max="8" width="24" hidden="0" customWidth="1"/>
    <x:col min="9" max="9" width="22" hidden="0" customWidth="1"/>
    <x:col min="10" max="10" width="36" hidden="0" customWidth="1"/>
  </x:cols>
  <x:sheetData>
    <x:row r="1" ht="30" customHeight="1">
      <x:c r="A1" s="3" t="str">
        <x:v>RBI — внешние и ГПХ участники</x:v>
      </x:c>
      <x:c r="B1" s="3"/>
      <x:c r="C1" s="3"/>
      <x:c r="D1" s="3"/>
      <x:c r="E1" s="3"/>
      <x:c r="F1" s="3"/>
      <x:c r="G1" s="3"/>
      <x:c r="H1" s="3"/>
      <x:c r="I1" s="3"/>
      <x:c r="J1" s="3"/>
    </x:row>
    <x:row r="2" ht="30" customHeight="1">
      <x:c r="A2" s="7" t="str">
        <x:v>Эти люди не создаются как внутренние employees автоматически и не получают доступ к системе.</x:v>
      </x:c>
      <x:c r="B2" s="7"/>
      <x:c r="C2" s="7"/>
      <x:c r="D2" s="7"/>
      <x:c r="E2" s="7"/>
      <x:c r="F2" s="7"/>
      <x:c r="G2" s="7"/>
      <x:c r="H2" s="7"/>
      <x:c r="I2" s="7"/>
      <x:c r="J2" s="7"/>
    </x:row>
    <x:row r="4" ht="34" customHeight="1">
      <x:c r="A4" s="17" t="str">
        <x:v>Source Key</x:v>
      </x:c>
      <x:c r="B4" s="18" t="str">
        <x:v>File</x:v>
      </x:c>
      <x:c r="C4" s="18" t="str">
        <x:v>Sheet</x:v>
      </x:c>
      <x:c r="D4" s="18" t="str">
        <x:v>Row</x:v>
      </x:c>
      <x:c r="E4" s="18" t="str">
        <x:v>Client</x:v>
      </x:c>
      <x:c r="F4" s="18" t="str">
        <x:v>Person</x:v>
      </x:c>
      <x:c r="G4" s="18" t="str">
        <x:v>Role</x:v>
      </x:c>
      <x:c r="H4" s="18" t="str">
        <x:v>Recommendation</x:v>
      </x:c>
      <x:c r="I4" s="18" t="str">
        <x:v>Decision</x:v>
      </x:c>
      <x:c r="J4" s="19" t="str">
        <x:v>Review Comment</x:v>
      </x:c>
    </x:row>
    <x:row r="5" ht="42" customHeight="1">
      <x:c r="A5" s="30" t="str">
        <x:v>1 кв проекты 2024 rbi.xlsx::проекты 1 кв 2024::50</x:v>
      </x:c>
      <x:c r="B5" s="30" t="str">
        <x:v>1 кв Проекты 2024_RBI.xlsx</x:v>
      </x:c>
      <x:c r="C5" s="30" t="str">
        <x:v>Проекты 1 кв 2024</x:v>
      </x:c>
      <x:c r="D5" s="30" t="n">
        <x:v>50</x:v>
      </x:c>
      <x:c r="E5" s="30" t="str">
        <x:v>Национальная Инвестиционная корпорация Нац Банка Казахстана</x:v>
      </x:c>
      <x:c r="F5" s="30" t="str">
        <x:v>ГПХ Ержан Тумабеков</x:v>
      </x:c>
      <x:c r="G5" s="30" t="str">
        <x:v>partner</x:v>
      </x:c>
      <x:c r="H5" s="30" t="str">
        <x:v>keep_external</x:v>
      </x:c>
      <x:c r="I5" s="30" t="str"/>
      <x:c r="J5" s="30" t="str"/>
    </x:row>
    <x:row r="6" ht="42" customHeight="1">
      <x:c r="A6" s="32" t="str">
        <x:v>1 кв проекты 2024 rbi.xlsx::проекты 1 кв 2024::74</x:v>
      </x:c>
      <x:c r="B6" s="32" t="str">
        <x:v>1 кв Проекты 2024_RBI.xlsx</x:v>
      </x:c>
      <x:c r="C6" s="32" t="str">
        <x:v>Проекты 1 кв 2024</x:v>
      </x:c>
      <x:c r="D6" s="32" t="n">
        <x:v>74</x:v>
      </x:c>
      <x:c r="E6" s="32" t="str">
        <x:v>АО N1broker</x:v>
      </x:c>
      <x:c r="F6" s="32" t="str">
        <x:v>ГПХ Камиля Жаркинбекова</x:v>
      </x:c>
      <x:c r="G6" s="32" t="str">
        <x:v>partner</x:v>
      </x:c>
      <x:c r="H6" s="32" t="str">
        <x:v>keep_external</x:v>
      </x:c>
      <x:c r="I6" s="32" t="str"/>
      <x:c r="J6" s="32" t="str"/>
    </x:row>
    <x:row r="7" ht="42" customHeight="1">
      <x:c r="A7" s="32" t="str">
        <x:v>1 кв проекты 2025 rbi.xlsx::проекты 1 кв 2025::47</x:v>
      </x:c>
      <x:c r="B7" s="32" t="str">
        <x:v>1 кв Проекты 2025_RBI.xlsx</x:v>
      </x:c>
      <x:c r="C7" s="32" t="str">
        <x:v>Проекты 1 кв 2025</x:v>
      </x:c>
      <x:c r="D7" s="32" t="n">
        <x:v>47</x:v>
      </x:c>
      <x:c r="E7" s="32" t="str">
        <x:v>АО SkyBridge Invest</x:v>
      </x:c>
      <x:c r="F7" s="32" t="str">
        <x:v>Саида ГПХ</x:v>
      </x:c>
      <x:c r="G7" s="32" t="str">
        <x:v>team</x:v>
      </x:c>
      <x:c r="H7" s="32" t="str">
        <x:v>keep_external</x:v>
      </x:c>
      <x:c r="I7" s="32" t="str"/>
      <x:c r="J7" s="32" t="str"/>
    </x:row>
    <x:row r="8" ht="42" customHeight="1">
      <x:c r="A8" s="32" t="str">
        <x:v>1 кв проекты 2025 rbi.xlsx::проекты 1 кв 2025::53</x:v>
      </x:c>
      <x:c r="B8" s="32" t="str">
        <x:v>1 кв Проекты 2025_RBI.xlsx</x:v>
      </x:c>
      <x:c r="C8" s="32" t="str">
        <x:v>Проекты 1 кв 2025</x:v>
      </x:c>
      <x:c r="D8" s="32" t="n">
        <x:v>53</x:v>
      </x:c>
      <x:c r="E8" s="32" t="str">
        <x:v>КАЗЕВРОМОБАЙЛ ТОО</x:v>
      </x:c>
      <x:c r="F8" s="32" t="str">
        <x:v>Адиль ГПХ</x:v>
      </x:c>
      <x:c r="G8" s="32" t="str">
        <x:v>team</x:v>
      </x:c>
      <x:c r="H8" s="32" t="str">
        <x:v>keep_external</x:v>
      </x:c>
      <x:c r="I8" s="32" t="str"/>
      <x:c r="J8" s="32" t="str"/>
    </x:row>
    <x:row r="9" ht="42" customHeight="1">
      <x:c r="A9" s="32" t="str">
        <x:v>1 кв проекты 2025 rbi.xlsx::проекты 1 кв 2025::53</x:v>
      </x:c>
      <x:c r="B9" s="32" t="str">
        <x:v>1 кв Проекты 2025_RBI.xlsx</x:v>
      </x:c>
      <x:c r="C9" s="32" t="str">
        <x:v>Проекты 1 кв 2025</x:v>
      </x:c>
      <x:c r="D9" s="32" t="n">
        <x:v>53</x:v>
      </x:c>
      <x:c r="E9" s="32" t="str">
        <x:v>КАЗЕВРОМОБАЙЛ ТОО</x:v>
      </x:c>
      <x:c r="F9" s="32" t="str">
        <x:v>Али ГПХ</x:v>
      </x:c>
      <x:c r="G9" s="32" t="str">
        <x:v>team</x:v>
      </x:c>
      <x:c r="H9" s="32" t="str">
        <x:v>keep_external</x:v>
      </x:c>
      <x:c r="I9" s="32" t="str"/>
      <x:c r="J9" s="32" t="str"/>
    </x:row>
    <x:row r="10" ht="42" customHeight="1">
      <x:c r="A10" s="32" t="str">
        <x:v>1 кв проекты 2025 rbi.xlsx::проекты 1 кв 2025::68</x:v>
      </x:c>
      <x:c r="B10" s="32" t="str">
        <x:v>1 кв Проекты 2025_RBI.xlsx</x:v>
      </x:c>
      <x:c r="C10" s="32" t="str">
        <x:v>Проекты 1 кв 2025</x:v>
      </x:c>
      <x:c r="D10" s="32" t="n">
        <x:v>68</x:v>
      </x:c>
      <x:c r="E10" s="32" t="str">
        <x:v>ТОО SB Solution</x:v>
      </x:c>
      <x:c r="F10" s="32" t="str">
        <x:v>Саида ГПХ</x:v>
      </x:c>
      <x:c r="G10" s="32" t="str">
        <x:v>team</x:v>
      </x:c>
      <x:c r="H10" s="32" t="str">
        <x:v>keep_external</x:v>
      </x:c>
      <x:c r="I10" s="32" t="str"/>
      <x:c r="J10" s="32" t="str"/>
    </x:row>
    <x:row r="11" ht="42" customHeight="1">
      <x:c r="A11" s="32" t="str">
        <x:v>1 кв проекты 2025 rbi.xlsx::проекты 1 кв 2025::103</x:v>
      </x:c>
      <x:c r="B11" s="32" t="str">
        <x:v>1 кв Проекты 2025_RBI.xlsx</x:v>
      </x:c>
      <x:c r="C11" s="32" t="str">
        <x:v>Проекты 1 кв 2025</x:v>
      </x:c>
      <x:c r="D11" s="32" t="n">
        <x:v>103</x:v>
      </x:c>
      <x:c r="E11" s="32" t="str">
        <x:v>TOO IQ Solutions</x:v>
      </x:c>
      <x:c r="F11" s="32" t="str">
        <x:v>Саида ГПХ</x:v>
      </x:c>
      <x:c r="G11" s="32" t="str">
        <x:v>team</x:v>
      </x:c>
      <x:c r="H11" s="32" t="str">
        <x:v>keep_external</x:v>
      </x:c>
      <x:c r="I11" s="32" t="str"/>
      <x:c r="J11" s="32" t="str"/>
    </x:row>
    <x:row r="12" ht="42" customHeight="1">
      <x:c r="A12" s="32" t="str">
        <x:v>2 кв проекты 2024 rbi.xlsx::проекты 2 кв 2024::47</x:v>
      </x:c>
      <x:c r="B12" s="32" t="str">
        <x:v>2 кв Проекты 2024_RBI.xlsx</x:v>
      </x:c>
      <x:c r="C12" s="32" t="str">
        <x:v>Проекты 2 кв 2024 </x:v>
      </x:c>
      <x:c r="D12" s="32" t="n">
        <x:v>47</x:v>
      </x:c>
      <x:c r="E12" s="32" t="str">
        <x:v>ТОО Еврокоптер Казахстан Инжиниринг</x:v>
      </x:c>
      <x:c r="F12" s="32" t="str">
        <x:v>Адиль Агабеков ГПХ</x:v>
      </x:c>
      <x:c r="G12" s="32" t="str">
        <x:v>team</x:v>
      </x:c>
      <x:c r="H12" s="32" t="str">
        <x:v>keep_external</x:v>
      </x:c>
      <x:c r="I12" s="32" t="str"/>
      <x:c r="J12" s="32" t="str"/>
    </x:row>
    <x:row r="13" ht="42" customHeight="1">
      <x:c r="A13" s="32" t="str">
        <x:v>2 кв проекты 2025 rbi.xlsx::проекты 2 кв 2025::5</x:v>
      </x:c>
      <x:c r="B13" s="32" t="str">
        <x:v>2 кв Проекты 2025_RBI.xlsx</x:v>
      </x:c>
      <x:c r="C13" s="32" t="str">
        <x:v>Проекты 2 кв 2025</x:v>
      </x:c>
      <x:c r="D13" s="32" t="n">
        <x:v>5</x:v>
      </x:c>
      <x:c r="E13" s="32" t="str">
        <x:v>Актюбинский завод нефтяного оборудования</x:v>
      </x:c>
      <x:c r="F13" s="32" t="str">
        <x:v>Мадина ГПХ</x:v>
      </x:c>
      <x:c r="G13" s="32" t="str">
        <x:v>team</x:v>
      </x:c>
      <x:c r="H13" s="32" t="str">
        <x:v>keep_external</x:v>
      </x:c>
      <x:c r="I13" s="32" t="str"/>
      <x:c r="J13" s="32" t="str"/>
    </x:row>
    <x:row r="14" ht="42" customHeight="1">
      <x:c r="A14" s="32" t="str">
        <x:v>2 кв проекты 2025 rbi.xlsx::проекты 2 кв 2025::16</x:v>
      </x:c>
      <x:c r="B14" s="32" t="str">
        <x:v>2 кв Проекты 2025_RBI.xlsx</x:v>
      </x:c>
      <x:c r="C14" s="32" t="str">
        <x:v>Проекты 2 кв 2025</x:v>
      </x:c>
      <x:c r="D14" s="32" t="n">
        <x:v>16</x:v>
      </x:c>
      <x:c r="E14" s="32" t="str">
        <x:v>Социально-предпринимательская корпорация Актобе</x:v>
      </x:c>
      <x:c r="F14" s="32" t="str">
        <x:v>Мадина ГПХ</x:v>
      </x:c>
      <x:c r="G14" s="32" t="str">
        <x:v>team</x:v>
      </x:c>
      <x:c r="H14" s="32" t="str">
        <x:v>keep_external</x:v>
      </x:c>
      <x:c r="I14" s="32" t="str"/>
      <x:c r="J14" s="32" t="str"/>
    </x:row>
    <x:row r="15" ht="42" customHeight="1">
      <x:c r="A15" s="32" t="str">
        <x:v>2 кв проекты 2025 rbi.xlsx::проекты 2 кв 2025::28</x:v>
      </x:c>
      <x:c r="B15" s="32" t="str">
        <x:v>2 кв Проекты 2025_RBI.xlsx</x:v>
      </x:c>
      <x:c r="C15" s="32" t="str">
        <x:v>Проекты 2 кв 2025</x:v>
      </x:c>
      <x:c r="D15" s="32" t="n">
        <x:v>28</x:v>
      </x:c>
      <x:c r="E15" s="32" t="str">
        <x:v>ТОО Сика Сентрал Эйша</x:v>
      </x:c>
      <x:c r="F15" s="32" t="str">
        <x:v>Али ГПХ</x:v>
      </x:c>
      <x:c r="G15" s="32" t="str">
        <x:v>team</x:v>
      </x:c>
      <x:c r="H15" s="32" t="str">
        <x:v>keep_external</x:v>
      </x:c>
      <x:c r="I15" s="32" t="str"/>
      <x:c r="J15" s="32" t="str"/>
    </x:row>
    <x:row r="16" ht="42" customHeight="1">
      <x:c r="A16" s="32" t="str">
        <x:v>2 кв проекты 2025 rbi.xlsx::проекты 2 кв 2025::79</x:v>
      </x:c>
      <x:c r="B16" s="32" t="str">
        <x:v>2 кв Проекты 2025_RBI.xlsx</x:v>
      </x:c>
      <x:c r="C16" s="32" t="str">
        <x:v>Проекты 2 кв 2025</x:v>
      </x:c>
      <x:c r="D16" s="32" t="n">
        <x:v>79</x:v>
      </x:c>
      <x:c r="E16" s="32" t="str">
        <x:v>ТОО "ARK CO ( ARK KO)"</x:v>
      </x:c>
      <x:c r="F16" s="32" t="str">
        <x:v>Саида ГПХ</x:v>
      </x:c>
      <x:c r="G16" s="32" t="str">
        <x:v>team</x:v>
      </x:c>
      <x:c r="H16" s="32" t="str">
        <x:v>keep_external</x:v>
      </x:c>
      <x:c r="I16" s="32" t="str"/>
      <x:c r="J16" s="32" t="str"/>
    </x:row>
  </x:sheetData>
  <x:mergeCells>
    <x:mergeCell ref="A1:J1"/>
    <x:mergeCell ref="A2:J2"/>
  </x:mergeCells>
  <x:conditionalFormatting sqref="I5:I16">
    <x:cfRule type="containsBlanks" dxfId="28" priority="1"/>
  </x:conditionalFormatting>
  <x:dataValidations count="1">
    <x:dataValidation type="list" sqref="I5:I16">
      <x:formula1>"use_existing_project,create_new_project,keep_live_team,apply_excel_team,merge_team_manually,keep_external,skip"</x:formula1>
    </x:dataValidation>
  </x:dataValidations>
  <x:pageMargins left="0.7" right="0.7" top="0.75" bottom="0.75" header="0.3" footer="0.3"/>
  <x:tableParts count="1">
    <x:tablePart xmlns:r="http://schemas.openxmlformats.org/officeDocument/2006/relationships" r:id="Rb25518510b3940a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0" hidden="0" customWidth="1"/>
    <x:col min="2" max="2" width="90" hidden="0" customWidth="1"/>
  </x:cols>
  <x:sheetData>
    <x:row r="1" ht="30" customHeight="1">
      <x:c r="A1" s="3" t="str">
        <x:v>Справочник статусов и решений</x:v>
      </x:c>
      <x:c r="B1" s="3"/>
    </x:row>
    <x:row r="2" ht="30" customHeight="1">
      <x:c r="A2" s="7" t="str">
        <x:v>Источник: reports\reconciliation\rbbb-reconciliation-2026-07-11T19-21-38-220Z.json. Заполнение Decision не изменяет live-БД.</x:v>
      </x:c>
      <x:c r="B2" s="7"/>
    </x:row>
    <x:row r="4" ht="34" customHeight="1">
      <x:c r="A4" s="17" t="str">
        <x:v>Value</x:v>
      </x:c>
      <x:c r="B4" s="19" t="str">
        <x:v>Meaning</x:v>
      </x:c>
    </x:row>
    <x:row r="5" ht="42" customHeight="1">
      <x:c r="A5" s="30" t="str">
        <x:v>confirmed_applied</x:v>
      </x:c>
      <x:c r="B5" s="30" t="str">
        <x:v>Live evidence подтверждает применение; повторная запись запрещена.</x:v>
      </x:c>
    </x:row>
    <x:row r="6" ht="42" customHeight="1">
      <x:c r="A6" s="32" t="str">
        <x:v>needs_project_match</x:v>
      </x:c>
      <x:c r="B6" s="32" t="str">
        <x:v>Нужно выбрать существующий проект или skip/create decision.</x:v>
      </x:c>
    </x:row>
    <x:row r="7" ht="42" customHeight="1">
      <x:c r="A7" s="32" t="str">
        <x:v>team_conflict</x:v>
      </x:c>
      <x:c r="B7" s="32" t="str">
        <x:v>Проект найден, но live- и Excel-команды расходятся.</x:v>
      </x:c>
    </x:row>
    <x:row r="8" ht="42" customHeight="1">
      <x:c r="A8" s="32" t="str">
        <x:v>create_candidate</x:v>
      </x:c>
      <x:c r="B8" s="32" t="str">
        <x:v>Проект не найден; создание возможно только после явного решения.</x:v>
      </x:c>
    </x:row>
    <x:row r="9" ht="42" customHeight="1">
      <x:c r="A9" s="32" t="str">
        <x:v>source_version_mismatch</x:v>
      </x:c>
      <x:c r="B9" s="32" t="str">
        <x:v>Локальная root-версия не совпадает с доказанной Drive/live версией.</x:v>
      </x:c>
    </x:row>
    <x:row r="10" ht="42" customHeight="1">
      <x:c r="A10" s="32" t="str">
        <x:v>insufficient_evidence</x:v>
      </x:c>
      <x:c r="B10" s="32" t="str">
        <x:v>Недостаточно source-specific доказательств.</x:v>
      </x:c>
    </x:row>
    <x:row r="11" ht="42" customHeight="1">
      <x:c r="A11" s="32" t="str">
        <x:v>use_existing_project</x:v>
      </x:c>
      <x:c r="B11" s="32" t="str">
        <x:v>Связать строку с указанным существующим project ID.</x:v>
      </x:c>
    </x:row>
    <x:row r="12" ht="42" customHeight="1">
      <x:c r="A12" s="32" t="str">
        <x:v>create_new_project</x:v>
      </x:c>
      <x:c r="B12" s="32" t="str">
        <x:v>Разрешить отдельному будущему apply-процессу создать проект.</x:v>
      </x:c>
    </x:row>
    <x:row r="13" ht="42" customHeight="1">
      <x:c r="A13" s="32" t="str">
        <x:v>keep_live_team</x:v>
      </x:c>
      <x:c r="B13" s="32" t="str">
        <x:v>Оставить текущую live-команду.</x:v>
      </x:c>
    </x:row>
    <x:row r="14" ht="42" customHeight="1">
      <x:c r="A14" s="32" t="str">
        <x:v>apply_excel_team</x:v>
      </x:c>
      <x:c r="B14" s="32" t="str">
        <x:v>Заменить/дополнить команду по Excel после отдельной проверки.</x:v>
      </x:c>
    </x:row>
    <x:row r="15" ht="42" customHeight="1">
      <x:c r="A15" s="32" t="str">
        <x:v>merge_team_manually</x:v>
      </x:c>
      <x:c r="B15" s="32" t="str">
        <x:v>Собрать итоговую команду вручную.</x:v>
      </x:c>
    </x:row>
    <x:row r="16" ht="42" customHeight="1">
      <x:c r="A16" s="32" t="str">
        <x:v>keep_external</x:v>
      </x:c>
      <x:c r="B16" s="32" t="str">
        <x:v>Сохранить человека как внешнего без employee login.</x:v>
      </x:c>
    </x:row>
    <x:row r="17" ht="42" customHeight="1">
      <x:c r="A17" s="32" t="str">
        <x:v>skip</x:v>
      </x:c>
      <x:c r="B17" s="32" t="str">
        <x:v>Не применять исходную строку.</x:v>
      </x:c>
    </x:row>
  </x:sheetData>
  <x:mergeCells>
    <x:mergeCell ref="A1:B1"/>
    <x:mergeCell ref="A2:B2"/>
  </x:mergeCells>
  <x:pageMargins left="0.7" right="0.7" top="0.75" bottom="0.75" header="0.3" footer="0.3"/>
  <x:tableParts count="1">
    <x:tablePart xmlns:r="http://schemas.openxmlformats.org/officeDocument/2006/relationships" r:id="Re597d1a553f64179"/>
  </x:tableParts>
</x:worksheet>
</file>